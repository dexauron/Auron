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6" fillId="4" borderId="1" applyAlignment="1" applyProtection="1" pivotButton="0" quotePrefix="0" xfId="0">
      <alignment horizontal="right" vertical="center"/>
      <protection locked="0" hidden="0"/>
    </xf>
    <xf numFmtId="166" fontId="17" fillId="9" borderId="1" applyAlignment="1" pivotButton="0" quotePrefix="0" xfId="0">
      <alignment horizontal="right" vertical="center"/>
    </xf>
    <xf numFmtId="165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6" fontId="16" fillId="17" borderId="1" applyAlignment="1" applyProtection="1" pivotButton="0" quotePrefix="0" xfId="0">
      <alignment horizontal="right" vertical="center"/>
      <protection locked="0" hidden="0"/>
    </xf>
    <xf numFmtId="166" fontId="17" fillId="17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6" fillId="3" borderId="1" applyAlignment="1" applyProtection="1" pivotButton="0" quotePrefix="0" xfId="0">
      <alignment horizontal="right" vertical="center"/>
      <protection locked="0" hidden="0"/>
    </xf>
    <xf numFmtId="166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17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6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6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6" fontId="24" fillId="13" borderId="0" applyAlignment="1" pivotButton="0" quotePrefix="0" xfId="0">
      <alignment horizontal="center" vertical="center" wrapText="1"/>
    </xf>
    <xf numFmtId="166" fontId="24" fillId="19" borderId="0" applyAlignment="1" pivotButton="0" quotePrefix="0" xfId="0">
      <alignment horizontal="center" vertical="center" wrapText="1"/>
    </xf>
    <xf numFmtId="166" fontId="24" fillId="11" borderId="0" applyAlignment="1" pivotButton="0" quotePrefix="0" xfId="0">
      <alignment horizontal="center" vertical="center" wrapText="1"/>
    </xf>
    <xf numFmtId="166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7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7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17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6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6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6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6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6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6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6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6" fontId="43" fillId="17" borderId="1" applyAlignment="1" pivotButton="0" quotePrefix="0" xfId="0">
      <alignment horizontal="right" vertical="center"/>
    </xf>
    <xf numFmtId="168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6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6" fontId="46" fillId="4" borderId="1" applyAlignment="1" pivotButton="0" quotePrefix="0" xfId="0">
      <alignment horizontal="right" vertical="center"/>
    </xf>
    <xf numFmtId="166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6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8" fontId="42" fillId="3" borderId="1" applyAlignment="1" pivotButton="0" quotePrefix="0" xfId="0">
      <alignment horizontal="center" vertical="center" wrapText="1"/>
    </xf>
    <xf numFmtId="166" fontId="47" fillId="9" borderId="1" applyAlignment="1" pivotButton="0" quotePrefix="0" xfId="0">
      <alignment horizontal="right" vertical="center"/>
    </xf>
    <xf numFmtId="166" fontId="48" fillId="15" borderId="1" applyAlignment="1" pivotButton="0" quotePrefix="0" xfId="0">
      <alignment horizontal="right" vertical="center"/>
    </xf>
    <xf numFmtId="166" fontId="49" fillId="7" borderId="1" applyAlignment="1" pivotButton="0" quotePrefix="0" xfId="0">
      <alignment horizontal="right" vertical="center"/>
    </xf>
    <xf numFmtId="166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6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L503" headerRowCount="1">
  <autoFilter ref="A3:L503"/>
  <tableColumns count="12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Иман Z (хозяин)"/>
    <tableColumn id="8" name="Выплата с кассы Z"/>
    <tableColumn id="9" name="Факт.наличка"/>
    <tableColumn id="10" name="Факт.эквайринг"/>
    <tableColumn id="11" name="Факт.перевод"/>
    <tableColumn id="12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</row>
    <row r="5" ht="22" customHeight="1">
      <c r="A5" s="4" t="inlineStr">
        <is>
          <t>• Раздел 2 (строки 15–17): Вкл/Выкл смен ДЕНЬ / ВЕЧЕР / НОЧЬ</t>
        </is>
      </c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</row>
    <row r="14" ht="22" customHeight="1">
      <c r="A14" s="3" t="inlineStr">
        <is>
          <t>• Колонки затемнены, если способ оплаты выключен в НАСТРОЙКАХ</t>
        </is>
      </c>
    </row>
    <row r="15" ht="22" customHeight="1">
      <c r="A15" s="4" t="inlineStr">
        <is>
          <t>• Нажмите СОХРАНИТЬ КАССУ — данные запишутся в БАЗА_ДДС</t>
        </is>
      </c>
    </row>
    <row r="16" ht="22" customHeight="1">
      <c r="A16" s="3" t="inlineStr">
        <is>
          <t>• ВВОД_РАСХОДЫ: дата, категория (из справочника), способ, сумма</t>
        </is>
      </c>
    </row>
    <row r="17" ht="22" customHeight="1">
      <c r="A17" s="4" t="inlineStr">
        <is>
          <t>• Нажмите СОХРАНИТЬ РАСХОДЫ — данные запишутся в БАЗА_ДДС</t>
        </is>
      </c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</row>
    <row r="21" ht="22" customHeight="1">
      <c r="A21" s="4" t="inlineStr">
        <is>
          <t>• Укажите дату, сумму, способ оплаты, накладную и статус</t>
        </is>
      </c>
    </row>
    <row r="22" ht="22" customHeight="1">
      <c r="A22" s="3" t="inlineStr">
        <is>
          <t>• Нажмите СОХРАНИТЬ ВЫПЛАТУ</t>
        </is>
      </c>
    </row>
    <row r="23" ht="22" customHeight="1">
      <c r="A23" s="4" t="inlineStr">
        <is>
          <t>• Просроченные выплаты подсвечиваются красным в КАЛЕНДАРЬ_ВЫПЛАТ</t>
        </is>
      </c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</row>
    <row r="27" ht="22" customHeight="1">
      <c r="A27" s="4" t="inlineStr">
        <is>
          <t>• Все показатели пересчитываются автоматически по БАЗА_ДДС</t>
        </is>
      </c>
    </row>
    <row r="28" ht="22" customHeight="1">
      <c r="A28" s="3" t="inlineStr">
        <is>
          <t>• Стрелки ▲▼ — динамика vs предыдущий период</t>
        </is>
      </c>
    </row>
    <row r="29" ht="22" customHeight="1">
      <c r="A29" s="4" t="inlineStr">
        <is>
          <t>• Цветовая индикация: зелёный = норма, красный = превышение</t>
        </is>
      </c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</row>
    <row r="33" ht="22" customHeight="1">
      <c r="A33" s="4" t="inlineStr">
        <is>
          <t>• Блок 1: Выручка, Расходы, Прибыль, Остаток в системе</t>
        </is>
      </c>
    </row>
    <row r="34" ht="22" customHeight="1">
      <c r="A34" s="3" t="inlineStr">
        <is>
          <t>• Блок 2: Финансовая модель 25/75 — маржа и лимит закупа</t>
        </is>
      </c>
    </row>
    <row r="35" ht="22" customHeight="1">
      <c r="A35" s="4" t="inlineStr">
        <is>
          <t>• Блок 3: Долговая нагрузка и кассовый разрыв</t>
        </is>
      </c>
    </row>
    <row r="36" ht="22" customHeight="1">
      <c r="A36" s="3" t="inlineStr">
        <is>
          <t>• Блок 4: Мини-отчёт по ТОП-5 поставщикам из НАСТРОЙКИ</t>
        </is>
      </c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8:J8"/>
    <mergeCell ref="A14:J14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UstanovitVseKnopki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фактику. Колонки Эквайринг/Перевод/Иман/Выплата управляются из НАСТРОЙКИ.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Иман Z (хозяин)</t>
        </is>
      </c>
      <c r="H3" s="15" t="inlineStr">
        <is>
          <t>Выплата с кассы Z</t>
        </is>
      </c>
      <c r="I3" s="15" t="inlineStr">
        <is>
          <t>Факт.наличка</t>
        </is>
      </c>
      <c r="J3" s="15" t="inlineStr">
        <is>
          <t>Факт.эквайринг</t>
        </is>
      </c>
      <c r="K3" s="15" t="inlineStr">
        <is>
          <t>Факт.перевод</t>
        </is>
      </c>
      <c r="L3" s="15" t="inlineStr">
        <is>
          <t>Расхождение</t>
        </is>
      </c>
    </row>
    <row r="4" ht="22" customHeight="1">
      <c r="A4" s="16" t="n">
        <v>46166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>
        <f>IFERROR((I4+J4+K4)-(D4+E4+F4+G4-H4),0)</f>
        <v/>
      </c>
    </row>
    <row r="5" ht="22" customHeight="1">
      <c r="A5" s="16" t="n">
        <v>46166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>
        <f>IFERROR((I5+J5+K5)-(D5+E5+F5+G5-H5),0)</f>
        <v/>
      </c>
    </row>
    <row r="6" ht="22" customHeight="1">
      <c r="A6" s="16" t="n">
        <v>46166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>
        <f>IFERROR((I6+J6+K6)-(D6+E6+F6+G6-H6),0)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4" t="n"/>
      <c r="K7" s="24" t="n"/>
      <c r="L7" s="25">
        <f>IFERROR((I7+J7+K7)-(D7+E7+F7+G7-H7),0)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29" t="n"/>
      <c r="K8" s="29" t="n"/>
      <c r="L8" s="30">
        <f>IFERROR((I8+J8+K8)-(D8+E8+F8+G8-H8),0)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>
        <f>IFERROR((I9+J9+K9)-(D9+E9+F9+G9-H9),0)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30">
        <f>IFERROR((I10+J10+K10)-(D10+E10+F10+G10-H10),0)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5">
        <f>IFERROR((I11+J11+K11)-(D11+E11+F11+G11-H11),0)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30">
        <f>IFERROR((I12+J12+K12)-(D12+E12+F12+G12-H12),0)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5">
        <f>IFERROR((I13+J13+K13)-(D13+E13+F13+G13-H13),0)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30">
        <f>IFERROR((I14+J14+K14)-(D14+E14+F14+G14-H14),0)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5">
        <f>IFERROR((I15+J15+K15)-(D15+E15+F15+G15-H15),0)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>
        <f>IFERROR((I16+J16+K16)-(D16+E16+F16+G16-H16),0)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5">
        <f>IFERROR((I17+J17+K17)-(D17+E17+F17+G17-H17),0)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30">
        <f>IFERROR((I18+J18+K18)-(D18+E18+F18+G18-H18),0)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5">
        <f>IFERROR((I19+J19+K19)-(D19+E19+F19+G19-H19),0)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30">
        <f>IFERROR((I20+J20+K20)-(D20+E20+F20+G20-H20),0)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>
        <f>IFERROR((I21+J21+K21)-(D21+E21+F21+G21-H21),0)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30">
        <f>IFERROR((I22+J22+K22)-(D22+E22+F22+G22-H22),0)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5">
        <f>IFERROR((I23+J23+K23)-(D23+E23+F23+G23-H23),0)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30">
        <f>IFERROR((I24+J24+K24)-(D24+E24+F24+G24-H24),0)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5">
        <f>IFERROR((I25+J25+K25)-(D25+E25+F25+G25-H25),0)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30">
        <f>IFERROR((I26+J26+K26)-(D26+E26+F26+G26-H26),0)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>
        <f>IFERROR((I27+J27+K27)-(D27+E27+F27+G27-H27),0)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>
        <f>IFERROR((I28+J28+K28)-(D28+E28+F28+G28-H28),0)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>
        <f>IFERROR((I29+J29+K29)-(D29+E29+F29+G29-H29),0)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30">
        <f>IFERROR((I30+J30+K30)-(D30+E30+F30+G30-H30),0)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>
        <f>IFERROR((I31+J31+K31)-(D31+E31+F31+G31-H31),0)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30">
        <f>IFERROR((I32+J32+K32)-(D32+E32+F32+G32-H32),0)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>
        <f>IFERROR((I33+J33+K33)-(D33+E33+F33+G33-H33),0)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30">
        <f>IFERROR((I34+J34+K34)-(D34+E34+F34+G34-H34),0)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>
        <f>IFERROR((I35+J35+K35)-(D35+E35+F35+G35-H35),0)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30">
        <f>IFERROR((I36+J36+K36)-(D36+E36+F36+G36-H36),0)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>
        <f>IFERROR((I37+J37+K37)-(D37+E37+F37+G37-H37),0)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30">
        <f>IFERROR((I38+J38+K38)-(D38+E38+F38+G38-H38),0)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>
        <f>IFERROR((I39+J39+K39)-(D39+E39+F39+G39-H39),0)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30">
        <f>IFERROR((I40+J40+K40)-(D40+E40+F40+G40-H40),0)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5">
        <f>IFERROR((I41+J41+K41)-(D41+E41+F41+G41-H41),0)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30">
        <f>IFERROR((I42+J42+K42)-(D42+E42+F42+G42-H42),0)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5">
        <f>IFERROR((I43+J43+K43)-(D43+E43+F43+G43-H43),0)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30">
        <f>IFERROR((I44+J44+K44)-(D44+E44+F44+G44-H44),0)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5">
        <f>IFERROR((I45+J45+K45)-(D45+E45+F45+G45-H45),0)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30">
        <f>IFERROR((I46+J46+K46)-(D46+E46+F46+G46-H46),0)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5">
        <f>IFERROR((I47+J47+K47)-(D47+E47+F47+G47-H47),0)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30">
        <f>IFERROR((I48+J48+K48)-(D48+E48+F48+G48-H48),0)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5">
        <f>IFERROR((I49+J49+K49)-(D49+E49+F49+G49-H49),0)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30">
        <f>IFERROR((I50+J50+K50)-(D50+E50+F50+G50-H50),0)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5">
        <f>IFERROR((I51+J51+K51)-(D51+E51+F51+G51-H51),0)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30">
        <f>IFERROR((I52+J52+K52)-(D52+E52+F52+G52-H52),0)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5">
        <f>IFERROR((I53+J53+K53)-(D53+E53+F53+G53-H53),0)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30">
        <f>IFERROR((I54+J54+K54)-(D54+E54+F54+G54-H54),0)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5">
        <f>IFERROR((I55+J55+K55)-(D55+E55+F55+G55-H55),0)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30">
        <f>IFERROR((I56+J56+K56)-(D56+E56+F56+G56-H56),0)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5">
        <f>IFERROR((I57+J57+K57)-(D57+E57+F57+G57-H57),0)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30">
        <f>IFERROR((I58+J58+K58)-(D58+E58+F58+G58-H58),0)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5">
        <f>IFERROR((I59+J59+K59)-(D59+E59+F59+G59-H59),0)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30">
        <f>IFERROR((I60+J60+K60)-(D60+E60+F60+G60-H60),0)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5">
        <f>IFERROR((I61+J61+K61)-(D61+E61+F61+G61-H61),0)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30">
        <f>IFERROR((I62+J62+K62)-(D62+E62+F62+G62-H62),0)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5">
        <f>IFERROR((I63+J63+K63)-(D63+E63+F63+G63-H63),0)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30">
        <f>IFERROR((I64+J64+K64)-(D64+E64+F64+G64-H64),0)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5">
        <f>IFERROR((I65+J65+K65)-(D65+E65+F65+G65-H65),0)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30">
        <f>IFERROR((I66+J66+K66)-(D66+E66+F66+G66-H66),0)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5">
        <f>IFERROR((I67+J67+K67)-(D67+E67+F67+G67-H67),0)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30">
        <f>IFERROR((I68+J68+K68)-(D68+E68+F68+G68-H68),0)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5">
        <f>IFERROR((I69+J69+K69)-(D69+E69+F69+G69-H69),0)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30">
        <f>IFERROR((I70+J70+K70)-(D70+E70+F70+G70-H70),0)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5">
        <f>IFERROR((I71+J71+K71)-(D71+E71+F71+G71-H71),0)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30">
        <f>IFERROR((I72+J72+K72)-(D72+E72+F72+G72-H72),0)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5">
        <f>IFERROR((I73+J73+K73)-(D73+E73+F73+G73-H73),0)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30">
        <f>IFERROR((I74+J74+K74)-(D74+E74+F74+G74-H74),0)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5">
        <f>IFERROR((I75+J75+K75)-(D75+E75+F75+G75-H75),0)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30">
        <f>IFERROR((I76+J76+K76)-(D76+E76+F76+G76-H76),0)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5">
        <f>IFERROR((I77+J77+K77)-(D77+E77+F77+G77-H77),0)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30">
        <f>IFERROR((I78+J78+K78)-(D78+E78+F78+G78-H78),0)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5">
        <f>IFERROR((I79+J79+K79)-(D79+E79+F79+G79-H79),0)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30">
        <f>IFERROR((I80+J80+K80)-(D80+E80+F80+G80-H80),0)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5">
        <f>IFERROR((I81+J81+K81)-(D81+E81+F81+G81-H81),0)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30">
        <f>IFERROR((I82+J82+K82)-(D82+E82+F82+G82-H82),0)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5">
        <f>IFERROR((I83+J83+K83)-(D83+E83+F83+G83-H83),0)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30">
        <f>IFERROR((I84+J84+K84)-(D84+E84+F84+G84-H84),0)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5">
        <f>IFERROR((I85+J85+K85)-(D85+E85+F85+G85-H85),0)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30">
        <f>IFERROR((I86+J86+K86)-(D86+E86+F86+G86-H86),0)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5">
        <f>IFERROR((I87+J87+K87)-(D87+E87+F87+G87-H87),0)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30">
        <f>IFERROR((I88+J88+K88)-(D88+E88+F88+G88-H88),0)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5">
        <f>IFERROR((I89+J89+K89)-(D89+E89+F89+G89-H89),0)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30">
        <f>IFERROR((I90+J90+K90)-(D90+E90+F90+G90-H90),0)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5">
        <f>IFERROR((I91+J91+K91)-(D91+E91+F91+G91-H91),0)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30">
        <f>IFERROR((I92+J92+K92)-(D92+E92+F92+G92-H92),0)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5">
        <f>IFERROR((I93+J93+K93)-(D93+E93+F93+G93-H93),0)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30">
        <f>IFERROR((I94+J94+K94)-(D94+E94+F94+G94-H94),0)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5">
        <f>IFERROR((I95+J95+K95)-(D95+E95+F95+G95-H95),0)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30">
        <f>IFERROR((I96+J96+K96)-(D96+E96+F96+G96-H96),0)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5">
        <f>IFERROR((I97+J97+K97)-(D97+E97+F97+G97-H97),0)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30">
        <f>IFERROR((I98+J98+K98)-(D98+E98+F98+G98-H98),0)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5">
        <f>IFERROR((I99+J99+K99)-(D99+E99+F99+G99-H99),0)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30">
        <f>IFERROR((I100+J100+K100)-(D100+E100+F100+G100-H100),0)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5">
        <f>IFERROR((I101+J101+K101)-(D101+E101+F101+G101-H101),0)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30">
        <f>IFERROR((I102+J102+K102)-(D102+E102+F102+G102-H102),0)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5">
        <f>IFERROR((I103+J103+K103)-(D103+E103+F103+G103-H103),0)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30">
        <f>IFERROR((I104+J104+K104)-(D104+E104+F104+G104-H104),0)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5">
        <f>IFERROR((I105+J105+K105)-(D105+E105+F105+G105-H105),0)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30">
        <f>IFERROR((I106+J106+K106)-(D106+E106+F106+G106-H106),0)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5">
        <f>IFERROR((I107+J107+K107)-(D107+E107+F107+G107-H107),0)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30">
        <f>IFERROR((I108+J108+K108)-(D108+E108+F108+G108-H108),0)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5">
        <f>IFERROR((I109+J109+K109)-(D109+E109+F109+G109-H109),0)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30">
        <f>IFERROR((I110+J110+K110)-(D110+E110+F110+G110-H110),0)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5">
        <f>IFERROR((I111+J111+K111)-(D111+E111+F111+G111-H111),0)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30">
        <f>IFERROR((I112+J112+K112)-(D112+E112+F112+G112-H112),0)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5">
        <f>IFERROR((I113+J113+K113)-(D113+E113+F113+G113-H113),0)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30">
        <f>IFERROR((I114+J114+K114)-(D114+E114+F114+G114-H114),0)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5">
        <f>IFERROR((I115+J115+K115)-(D115+E115+F115+G115-H115),0)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30">
        <f>IFERROR((I116+J116+K116)-(D116+E116+F116+G116-H116),0)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5">
        <f>IFERROR((I117+J117+K117)-(D117+E117+F117+G117-H117),0)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30">
        <f>IFERROR((I118+J118+K118)-(D118+E118+F118+G118-H118),0)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5">
        <f>IFERROR((I119+J119+K119)-(D119+E119+F119+G119-H119),0)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30">
        <f>IFERROR((I120+J120+K120)-(D120+E120+F120+G120-H120),0)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5">
        <f>IFERROR((I121+J121+K121)-(D121+E121+F121+G121-H121),0)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30">
        <f>IFERROR((I122+J122+K122)-(D122+E122+F122+G122-H122),0)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5">
        <f>IFERROR((I123+J123+K123)-(D123+E123+F123+G123-H123),0)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30">
        <f>IFERROR((I124+J124+K124)-(D124+E124+F124+G124-H124),0)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5">
        <f>IFERROR((I125+J125+K125)-(D125+E125+F125+G125-H125),0)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30">
        <f>IFERROR((I126+J126+K126)-(D126+E126+F126+G126-H126),0)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5">
        <f>IFERROR((I127+J127+K127)-(D127+E127+F127+G127-H127),0)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30">
        <f>IFERROR((I128+J128+K128)-(D128+E128+F128+G128-H128),0)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5">
        <f>IFERROR((I129+J129+K129)-(D129+E129+F129+G129-H129),0)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30">
        <f>IFERROR((I130+J130+K130)-(D130+E130+F130+G130-H130),0)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5">
        <f>IFERROR((I131+J131+K131)-(D131+E131+F131+G131-H131),0)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30">
        <f>IFERROR((I132+J132+K132)-(D132+E132+F132+G132-H132),0)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5">
        <f>IFERROR((I133+J133+K133)-(D133+E133+F133+G133-H133),0)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30">
        <f>IFERROR((I134+J134+K134)-(D134+E134+F134+G134-H134),0)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5">
        <f>IFERROR((I135+J135+K135)-(D135+E135+F135+G135-H135),0)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30">
        <f>IFERROR((I136+J136+K136)-(D136+E136+F136+G136-H136),0)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5">
        <f>IFERROR((I137+J137+K137)-(D137+E137+F137+G137-H137),0)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30">
        <f>IFERROR((I138+J138+K138)-(D138+E138+F138+G138-H138),0)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5">
        <f>IFERROR((I139+J139+K139)-(D139+E139+F139+G139-H139),0)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30">
        <f>IFERROR((I140+J140+K140)-(D140+E140+F140+G140-H140),0)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5">
        <f>IFERROR((I141+J141+K141)-(D141+E141+F141+G141-H141),0)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30">
        <f>IFERROR((I142+J142+K142)-(D142+E142+F142+G142-H142),0)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5">
        <f>IFERROR((I143+J143+K143)-(D143+E143+F143+G143-H143),0)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30">
        <f>IFERROR((I144+J144+K144)-(D144+E144+F144+G144-H144),0)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5">
        <f>IFERROR((I145+J145+K145)-(D145+E145+F145+G145-H145),0)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30">
        <f>IFERROR((I146+J146+K146)-(D146+E146+F146+G146-H146),0)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5">
        <f>IFERROR((I147+J147+K147)-(D147+E147+F147+G147-H147),0)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30">
        <f>IFERROR((I148+J148+K148)-(D148+E148+F148+G148-H148),0)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5">
        <f>IFERROR((I149+J149+K149)-(D149+E149+F149+G149-H149),0)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30">
        <f>IFERROR((I150+J150+K150)-(D150+E150+F150+G150-H150),0)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5">
        <f>IFERROR((I151+J151+K151)-(D151+E151+F151+G151-H151),0)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30">
        <f>IFERROR((I152+J152+K152)-(D152+E152+F152+G152-H152),0)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5">
        <f>IFERROR((I153+J153+K153)-(D153+E153+F153+G153-H153),0)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30">
        <f>IFERROR((I154+J154+K154)-(D154+E154+F154+G154-H154),0)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5">
        <f>IFERROR((I155+J155+K155)-(D155+E155+F155+G155-H155),0)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30">
        <f>IFERROR((I156+J156+K156)-(D156+E156+F156+G156-H156),0)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5">
        <f>IFERROR((I157+J157+K157)-(D157+E157+F157+G157-H157),0)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30">
        <f>IFERROR((I158+J158+K158)-(D158+E158+F158+G158-H158),0)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5">
        <f>IFERROR((I159+J159+K159)-(D159+E159+F159+G159-H159),0)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30">
        <f>IFERROR((I160+J160+K160)-(D160+E160+F160+G160-H160),0)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5">
        <f>IFERROR((I161+J161+K161)-(D161+E161+F161+G161-H161),0)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30">
        <f>IFERROR((I162+J162+K162)-(D162+E162+F162+G162-H162),0)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5">
        <f>IFERROR((I163+J163+K163)-(D163+E163+F163+G163-H163),0)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30">
        <f>IFERROR((I164+J164+K164)-(D164+E164+F164+G164-H164),0)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5">
        <f>IFERROR((I165+J165+K165)-(D165+E165+F165+G165-H165),0)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30">
        <f>IFERROR((I166+J166+K166)-(D166+E166+F166+G166-H166),0)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5">
        <f>IFERROR((I167+J167+K167)-(D167+E167+F167+G167-H167),0)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30">
        <f>IFERROR((I168+J168+K168)-(D168+E168+F168+G168-H168),0)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5">
        <f>IFERROR((I169+J169+K169)-(D169+E169+F169+G169-H169),0)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30">
        <f>IFERROR((I170+J170+K170)-(D170+E170+F170+G170-H170),0)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5">
        <f>IFERROR((I171+J171+K171)-(D171+E171+F171+G171-H171),0)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30">
        <f>IFERROR((I172+J172+K172)-(D172+E172+F172+G172-H172),0)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5">
        <f>IFERROR((I173+J173+K173)-(D173+E173+F173+G173-H173),0)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30">
        <f>IFERROR((I174+J174+K174)-(D174+E174+F174+G174-H174),0)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5">
        <f>IFERROR((I175+J175+K175)-(D175+E175+F175+G175-H175),0)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30">
        <f>IFERROR((I176+J176+K176)-(D176+E176+F176+G176-H176),0)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5">
        <f>IFERROR((I177+J177+K177)-(D177+E177+F177+G177-H177),0)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30">
        <f>IFERROR((I178+J178+K178)-(D178+E178+F178+G178-H178),0)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5">
        <f>IFERROR((I179+J179+K179)-(D179+E179+F179+G179-H179),0)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30">
        <f>IFERROR((I180+J180+K180)-(D180+E180+F180+G180-H180),0)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5">
        <f>IFERROR((I181+J181+K181)-(D181+E181+F181+G181-H181),0)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30">
        <f>IFERROR((I182+J182+K182)-(D182+E182+F182+G182-H182),0)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5">
        <f>IFERROR((I183+J183+K183)-(D183+E183+F183+G183-H183),0)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30">
        <f>IFERROR((I184+J184+K184)-(D184+E184+F184+G184-H184),0)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5">
        <f>IFERROR((I185+J185+K185)-(D185+E185+F185+G185-H185),0)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30">
        <f>IFERROR((I186+J186+K186)-(D186+E186+F186+G186-H186),0)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5">
        <f>IFERROR((I187+J187+K187)-(D187+E187+F187+G187-H187),0)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30">
        <f>IFERROR((I188+J188+K188)-(D188+E188+F188+G188-H188),0)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5">
        <f>IFERROR((I189+J189+K189)-(D189+E189+F189+G189-H189),0)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30">
        <f>IFERROR((I190+J190+K190)-(D190+E190+F190+G190-H190),0)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5">
        <f>IFERROR((I191+J191+K191)-(D191+E191+F191+G191-H191),0)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30">
        <f>IFERROR((I192+J192+K192)-(D192+E192+F192+G192-H192),0)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5">
        <f>IFERROR((I193+J193+K193)-(D193+E193+F193+G193-H193),0)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30">
        <f>IFERROR((I194+J194+K194)-(D194+E194+F194+G194-H194),0)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5">
        <f>IFERROR((I195+J195+K195)-(D195+E195+F195+G195-H195),0)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30">
        <f>IFERROR((I196+J196+K196)-(D196+E196+F196+G196-H196),0)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5">
        <f>IFERROR((I197+J197+K197)-(D197+E197+F197+G197-H197),0)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30">
        <f>IFERROR((I198+J198+K198)-(D198+E198+F198+G198-H198),0)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5">
        <f>IFERROR((I199+J199+K199)-(D199+E199+F199+G199-H199),0)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30">
        <f>IFERROR((I200+J200+K200)-(D200+E200+F200+G200-H200),0)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5">
        <f>IFERROR((I201+J201+K201)-(D201+E201+F201+G201-H201),0)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30">
        <f>IFERROR((I202+J202+K202)-(D202+E202+F202+G202-H202),0)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5">
        <f>IFERROR((I203+J203+K203)-(D203+E203+F203+G203-H203),0)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30">
        <f>IFERROR((I204+J204+K204)-(D204+E204+F204+G204-H204),0)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5">
        <f>IFERROR((I205+J205+K205)-(D205+E205+F205+G205-H205),0)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30">
        <f>IFERROR((I206+J206+K206)-(D206+E206+F206+G206-H206),0)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5">
        <f>IFERROR((I207+J207+K207)-(D207+E207+F207+G207-H207),0)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30">
        <f>IFERROR((I208+J208+K208)-(D208+E208+F208+G208-H208),0)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5">
        <f>IFERROR((I209+J209+K209)-(D209+E209+F209+G209-H209),0)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30">
        <f>IFERROR((I210+J210+K210)-(D210+E210+F210+G210-H210),0)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5">
        <f>IFERROR((I211+J211+K211)-(D211+E211+F211+G211-H211),0)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30">
        <f>IFERROR((I212+J212+K212)-(D212+E212+F212+G212-H212),0)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5">
        <f>IFERROR((I213+J213+K213)-(D213+E213+F213+G213-H213),0)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30">
        <f>IFERROR((I214+J214+K214)-(D214+E214+F214+G214-H214),0)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5">
        <f>IFERROR((I215+J215+K215)-(D215+E215+F215+G215-H215),0)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30">
        <f>IFERROR((I216+J216+K216)-(D216+E216+F216+G216-H216),0)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5">
        <f>IFERROR((I217+J217+K217)-(D217+E217+F217+G217-H217),0)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30">
        <f>IFERROR((I218+J218+K218)-(D218+E218+F218+G218-H218),0)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5">
        <f>IFERROR((I219+J219+K219)-(D219+E219+F219+G219-H219),0)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30">
        <f>IFERROR((I220+J220+K220)-(D220+E220+F220+G220-H220),0)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5">
        <f>IFERROR((I221+J221+K221)-(D221+E221+F221+G221-H221),0)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30">
        <f>IFERROR((I222+J222+K222)-(D222+E222+F222+G222-H222),0)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5">
        <f>IFERROR((I223+J223+K223)-(D223+E223+F223+G223-H223),0)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30">
        <f>IFERROR((I224+J224+K224)-(D224+E224+F224+G224-H224),0)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5">
        <f>IFERROR((I225+J225+K225)-(D225+E225+F225+G225-H225),0)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30">
        <f>IFERROR((I226+J226+K226)-(D226+E226+F226+G226-H226),0)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5">
        <f>IFERROR((I227+J227+K227)-(D227+E227+F227+G227-H227),0)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30">
        <f>IFERROR((I228+J228+K228)-(D228+E228+F228+G228-H228),0)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5">
        <f>IFERROR((I229+J229+K229)-(D229+E229+F229+G229-H229),0)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30">
        <f>IFERROR((I230+J230+K230)-(D230+E230+F230+G230-H230),0)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5">
        <f>IFERROR((I231+J231+K231)-(D231+E231+F231+G231-H231),0)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30">
        <f>IFERROR((I232+J232+K232)-(D232+E232+F232+G232-H232),0)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5">
        <f>IFERROR((I233+J233+K233)-(D233+E233+F233+G233-H233),0)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30">
        <f>IFERROR((I234+J234+K234)-(D234+E234+F234+G234-H234),0)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5">
        <f>IFERROR((I235+J235+K235)-(D235+E235+F235+G235-H235),0)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30">
        <f>IFERROR((I236+J236+K236)-(D236+E236+F236+G236-H236),0)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5">
        <f>IFERROR((I237+J237+K237)-(D237+E237+F237+G237-H237),0)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30">
        <f>IFERROR((I238+J238+K238)-(D238+E238+F238+G238-H238),0)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5">
        <f>IFERROR((I239+J239+K239)-(D239+E239+F239+G239-H239),0)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30">
        <f>IFERROR((I240+J240+K240)-(D240+E240+F240+G240-H240),0)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5">
        <f>IFERROR((I241+J241+K241)-(D241+E241+F241+G241-H241),0)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30">
        <f>IFERROR((I242+J242+K242)-(D242+E242+F242+G242-H242),0)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5">
        <f>IFERROR((I243+J243+K243)-(D243+E243+F243+G243-H243),0)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30">
        <f>IFERROR((I244+J244+K244)-(D244+E244+F244+G244-H244),0)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5">
        <f>IFERROR((I245+J245+K245)-(D245+E245+F245+G245-H245),0)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30">
        <f>IFERROR((I246+J246+K246)-(D246+E246+F246+G246-H246),0)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5">
        <f>IFERROR((I247+J247+K247)-(D247+E247+F247+G247-H247),0)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30">
        <f>IFERROR((I248+J248+K248)-(D248+E248+F248+G248-H248),0)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5">
        <f>IFERROR((I249+J249+K249)-(D249+E249+F249+G249-H249),0)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30">
        <f>IFERROR((I250+J250+K250)-(D250+E250+F250+G250-H250),0)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5">
        <f>IFERROR((I251+J251+K251)-(D251+E251+F251+G251-H251),0)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30">
        <f>IFERROR((I252+J252+K252)-(D252+E252+F252+G252-H252),0)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5">
        <f>IFERROR((I253+J253+K253)-(D253+E253+F253+G253-H253),0)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30">
        <f>IFERROR((I254+J254+K254)-(D254+E254+F254+G254-H254),0)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5">
        <f>IFERROR((I255+J255+K255)-(D255+E255+F255+G255-H255),0)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30">
        <f>IFERROR((I256+J256+K256)-(D256+E256+F256+G256-H256),0)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5">
        <f>IFERROR((I257+J257+K257)-(D257+E257+F257+G257-H257),0)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30">
        <f>IFERROR((I258+J258+K258)-(D258+E258+F258+G258-H258),0)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5">
        <f>IFERROR((I259+J259+K259)-(D259+E259+F259+G259-H259),0)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30">
        <f>IFERROR((I260+J260+K260)-(D260+E260+F260+G260-H260),0)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5">
        <f>IFERROR((I261+J261+K261)-(D261+E261+F261+G261-H261),0)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30">
        <f>IFERROR((I262+J262+K262)-(D262+E262+F262+G262-H262),0)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5">
        <f>IFERROR((I263+J263+K263)-(D263+E263+F263+G263-H263),0)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30">
        <f>IFERROR((I264+J264+K264)-(D264+E264+F264+G264-H264),0)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5">
        <f>IFERROR((I265+J265+K265)-(D265+E265+F265+G265-H265),0)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30">
        <f>IFERROR((I266+J266+K266)-(D266+E266+F266+G266-H266),0)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5">
        <f>IFERROR((I267+J267+K267)-(D267+E267+F267+G267-H267),0)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30">
        <f>IFERROR((I268+J268+K268)-(D268+E268+F268+G268-H268),0)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5">
        <f>IFERROR((I269+J269+K269)-(D269+E269+F269+G269-H269),0)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30">
        <f>IFERROR((I270+J270+K270)-(D270+E270+F270+G270-H270),0)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5">
        <f>IFERROR((I271+J271+K271)-(D271+E271+F271+G271-H271),0)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30">
        <f>IFERROR((I272+J272+K272)-(D272+E272+F272+G272-H272),0)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5">
        <f>IFERROR((I273+J273+K273)-(D273+E273+F273+G273-H273),0)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30">
        <f>IFERROR((I274+J274+K274)-(D274+E274+F274+G274-H274),0)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5">
        <f>IFERROR((I275+J275+K275)-(D275+E275+F275+G275-H275),0)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30">
        <f>IFERROR((I276+J276+K276)-(D276+E276+F276+G276-H276),0)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5">
        <f>IFERROR((I277+J277+K277)-(D277+E277+F277+G277-H277),0)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30">
        <f>IFERROR((I278+J278+K278)-(D278+E278+F278+G278-H278),0)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5">
        <f>IFERROR((I279+J279+K279)-(D279+E279+F279+G279-H279),0)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30">
        <f>IFERROR((I280+J280+K280)-(D280+E280+F280+G280-H280),0)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5">
        <f>IFERROR((I281+J281+K281)-(D281+E281+F281+G281-H281),0)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30">
        <f>IFERROR((I282+J282+K282)-(D282+E282+F282+G282-H282),0)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5">
        <f>IFERROR((I283+J283+K283)-(D283+E283+F283+G283-H283),0)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30">
        <f>IFERROR((I284+J284+K284)-(D284+E284+F284+G284-H284),0)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5">
        <f>IFERROR((I285+J285+K285)-(D285+E285+F285+G285-H285),0)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30">
        <f>IFERROR((I286+J286+K286)-(D286+E286+F286+G286-H286),0)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5">
        <f>IFERROR((I287+J287+K287)-(D287+E287+F287+G287-H287),0)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30">
        <f>IFERROR((I288+J288+K288)-(D288+E288+F288+G288-H288),0)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5">
        <f>IFERROR((I289+J289+K289)-(D289+E289+F289+G289-H289),0)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30">
        <f>IFERROR((I290+J290+K290)-(D290+E290+F290+G290-H290),0)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5">
        <f>IFERROR((I291+J291+K291)-(D291+E291+F291+G291-H291),0)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30">
        <f>IFERROR((I292+J292+K292)-(D292+E292+F292+G292-H292),0)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5">
        <f>IFERROR((I293+J293+K293)-(D293+E293+F293+G293-H293),0)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30">
        <f>IFERROR((I294+J294+K294)-(D294+E294+F294+G294-H294),0)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5">
        <f>IFERROR((I295+J295+K295)-(D295+E295+F295+G295-H295),0)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30">
        <f>IFERROR((I296+J296+K296)-(D296+E296+F296+G296-H296),0)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5">
        <f>IFERROR((I297+J297+K297)-(D297+E297+F297+G297-H297),0)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30">
        <f>IFERROR((I298+J298+K298)-(D298+E298+F298+G298-H298),0)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5">
        <f>IFERROR((I299+J299+K299)-(D299+E299+F299+G299-H299),0)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30">
        <f>IFERROR((I300+J300+K300)-(D300+E300+F300+G300-H300),0)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5">
        <f>IFERROR((I301+J301+K301)-(D301+E301+F301+G301-H301),0)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30">
        <f>IFERROR((I302+J302+K302)-(D302+E302+F302+G302-H302),0)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5">
        <f>IFERROR((I303+J303+K303)-(D303+E303+F303+G303-H303),0)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30">
        <f>IFERROR((I304+J304+K304)-(D304+E304+F304+G304-H304),0)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5">
        <f>IFERROR((I305+J305+K305)-(D305+E305+F305+G305-H305),0)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30">
        <f>IFERROR((I306+J306+K306)-(D306+E306+F306+G306-H306),0)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5">
        <f>IFERROR((I307+J307+K307)-(D307+E307+F307+G307-H307),0)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30">
        <f>IFERROR((I308+J308+K308)-(D308+E308+F308+G308-H308),0)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5">
        <f>IFERROR((I309+J309+K309)-(D309+E309+F309+G309-H309),0)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30">
        <f>IFERROR((I310+J310+K310)-(D310+E310+F310+G310-H310),0)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5">
        <f>IFERROR((I311+J311+K311)-(D311+E311+F311+G311-H311),0)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30">
        <f>IFERROR((I312+J312+K312)-(D312+E312+F312+G312-H312),0)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5">
        <f>IFERROR((I313+J313+K313)-(D313+E313+F313+G313-H313),0)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30">
        <f>IFERROR((I314+J314+K314)-(D314+E314+F314+G314-H314),0)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5">
        <f>IFERROR((I315+J315+K315)-(D315+E315+F315+G315-H315),0)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30">
        <f>IFERROR((I316+J316+K316)-(D316+E316+F316+G316-H316),0)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5">
        <f>IFERROR((I317+J317+K317)-(D317+E317+F317+G317-H317),0)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30">
        <f>IFERROR((I318+J318+K318)-(D318+E318+F318+G318-H318),0)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5">
        <f>IFERROR((I319+J319+K319)-(D319+E319+F319+G319-H319),0)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30">
        <f>IFERROR((I320+J320+K320)-(D320+E320+F320+G320-H320),0)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5">
        <f>IFERROR((I321+J321+K321)-(D321+E321+F321+G321-H321),0)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30">
        <f>IFERROR((I322+J322+K322)-(D322+E322+F322+G322-H322),0)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5">
        <f>IFERROR((I323+J323+K323)-(D323+E323+F323+G323-H323),0)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30">
        <f>IFERROR((I324+J324+K324)-(D324+E324+F324+G324-H324),0)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5">
        <f>IFERROR((I325+J325+K325)-(D325+E325+F325+G325-H325),0)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30">
        <f>IFERROR((I326+J326+K326)-(D326+E326+F326+G326-H326),0)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5">
        <f>IFERROR((I327+J327+K327)-(D327+E327+F327+G327-H327),0)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30">
        <f>IFERROR((I328+J328+K328)-(D328+E328+F328+G328-H328),0)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5">
        <f>IFERROR((I329+J329+K329)-(D329+E329+F329+G329-H329),0)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30">
        <f>IFERROR((I330+J330+K330)-(D330+E330+F330+G330-H330),0)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5">
        <f>IFERROR((I331+J331+K331)-(D331+E331+F331+G331-H331),0)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30">
        <f>IFERROR((I332+J332+K332)-(D332+E332+F332+G332-H332),0)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5">
        <f>IFERROR((I333+J333+K333)-(D333+E333+F333+G333-H333),0)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30">
        <f>IFERROR((I334+J334+K334)-(D334+E334+F334+G334-H334),0)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5">
        <f>IFERROR((I335+J335+K335)-(D335+E335+F335+G335-H335),0)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30">
        <f>IFERROR((I336+J336+K336)-(D336+E336+F336+G336-H336),0)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5">
        <f>IFERROR((I337+J337+K337)-(D337+E337+F337+G337-H337),0)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30">
        <f>IFERROR((I338+J338+K338)-(D338+E338+F338+G338-H338),0)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5">
        <f>IFERROR((I339+J339+K339)-(D339+E339+F339+G339-H339),0)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30">
        <f>IFERROR((I340+J340+K340)-(D340+E340+F340+G340-H340),0)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5">
        <f>IFERROR((I341+J341+K341)-(D341+E341+F341+G341-H341),0)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30">
        <f>IFERROR((I342+J342+K342)-(D342+E342+F342+G342-H342),0)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5">
        <f>IFERROR((I343+J343+K343)-(D343+E343+F343+G343-H343),0)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30">
        <f>IFERROR((I344+J344+K344)-(D344+E344+F344+G344-H344),0)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5">
        <f>IFERROR((I345+J345+K345)-(D345+E345+F345+G345-H345),0)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30">
        <f>IFERROR((I346+J346+K346)-(D346+E346+F346+G346-H346),0)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5">
        <f>IFERROR((I347+J347+K347)-(D347+E347+F347+G347-H347),0)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30">
        <f>IFERROR((I348+J348+K348)-(D348+E348+F348+G348-H348),0)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5">
        <f>IFERROR((I349+J349+K349)-(D349+E349+F349+G349-H349),0)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30">
        <f>IFERROR((I350+J350+K350)-(D350+E350+F350+G350-H350),0)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5">
        <f>IFERROR((I351+J351+K351)-(D351+E351+F351+G351-H351),0)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30">
        <f>IFERROR((I352+J352+K352)-(D352+E352+F352+G352-H352),0)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5">
        <f>IFERROR((I353+J353+K353)-(D353+E353+F353+G353-H353),0)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30">
        <f>IFERROR((I354+J354+K354)-(D354+E354+F354+G354-H354),0)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5">
        <f>IFERROR((I355+J355+K355)-(D355+E355+F355+G355-H355),0)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30">
        <f>IFERROR((I356+J356+K356)-(D356+E356+F356+G356-H356),0)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5">
        <f>IFERROR((I357+J357+K357)-(D357+E357+F357+G357-H357),0)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30">
        <f>IFERROR((I358+J358+K358)-(D358+E358+F358+G358-H358),0)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5">
        <f>IFERROR((I359+J359+K359)-(D359+E359+F359+G359-H359),0)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30">
        <f>IFERROR((I360+J360+K360)-(D360+E360+F360+G360-H360),0)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5">
        <f>IFERROR((I361+J361+K361)-(D361+E361+F361+G361-H361),0)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30">
        <f>IFERROR((I362+J362+K362)-(D362+E362+F362+G362-H362),0)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5">
        <f>IFERROR((I363+J363+K363)-(D363+E363+F363+G363-H363),0)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30">
        <f>IFERROR((I364+J364+K364)-(D364+E364+F364+G364-H364),0)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5">
        <f>IFERROR((I365+J365+K365)-(D365+E365+F365+G365-H365),0)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30">
        <f>IFERROR((I366+J366+K366)-(D366+E366+F366+G366-H366),0)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5">
        <f>IFERROR((I367+J367+K367)-(D367+E367+F367+G367-H367),0)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30">
        <f>IFERROR((I368+J368+K368)-(D368+E368+F368+G368-H368),0)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5">
        <f>IFERROR((I369+J369+K369)-(D369+E369+F369+G369-H369),0)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30">
        <f>IFERROR((I370+J370+K370)-(D370+E370+F370+G370-H370),0)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5">
        <f>IFERROR((I371+J371+K371)-(D371+E371+F371+G371-H371),0)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30">
        <f>IFERROR((I372+J372+K372)-(D372+E372+F372+G372-H372),0)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5">
        <f>IFERROR((I373+J373+K373)-(D373+E373+F373+G373-H373),0)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30">
        <f>IFERROR((I374+J374+K374)-(D374+E374+F374+G374-H374),0)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5">
        <f>IFERROR((I375+J375+K375)-(D375+E375+F375+G375-H375),0)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30">
        <f>IFERROR((I376+J376+K376)-(D376+E376+F376+G376-H376),0)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5">
        <f>IFERROR((I377+J377+K377)-(D377+E377+F377+G377-H377),0)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30">
        <f>IFERROR((I378+J378+K378)-(D378+E378+F378+G378-H378),0)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5">
        <f>IFERROR((I379+J379+K379)-(D379+E379+F379+G379-H379),0)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30">
        <f>IFERROR((I380+J380+K380)-(D380+E380+F380+G380-H380),0)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5">
        <f>IFERROR((I381+J381+K381)-(D381+E381+F381+G381-H381),0)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30">
        <f>IFERROR((I382+J382+K382)-(D382+E382+F382+G382-H382),0)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5">
        <f>IFERROR((I383+J383+K383)-(D383+E383+F383+G383-H383),0)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30">
        <f>IFERROR((I384+J384+K384)-(D384+E384+F384+G384-H384),0)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5">
        <f>IFERROR((I385+J385+K385)-(D385+E385+F385+G385-H385),0)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30">
        <f>IFERROR((I386+J386+K386)-(D386+E386+F386+G386-H386),0)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5">
        <f>IFERROR((I387+J387+K387)-(D387+E387+F387+G387-H387),0)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30">
        <f>IFERROR((I388+J388+K388)-(D388+E388+F388+G388-H388),0)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5">
        <f>IFERROR((I389+J389+K389)-(D389+E389+F389+G389-H389),0)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30">
        <f>IFERROR((I390+J390+K390)-(D390+E390+F390+G390-H390),0)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5">
        <f>IFERROR((I391+J391+K391)-(D391+E391+F391+G391-H391),0)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30">
        <f>IFERROR((I392+J392+K392)-(D392+E392+F392+G392-H392),0)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5">
        <f>IFERROR((I393+J393+K393)-(D393+E393+F393+G393-H393),0)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30">
        <f>IFERROR((I394+J394+K394)-(D394+E394+F394+G394-H394),0)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5">
        <f>IFERROR((I395+J395+K395)-(D395+E395+F395+G395-H395),0)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30">
        <f>IFERROR((I396+J396+K396)-(D396+E396+F396+G396-H396),0)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5">
        <f>IFERROR((I397+J397+K397)-(D397+E397+F397+G397-H397),0)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30">
        <f>IFERROR((I398+J398+K398)-(D398+E398+F398+G398-H398),0)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5">
        <f>IFERROR((I399+J399+K399)-(D399+E399+F399+G399-H399),0)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30">
        <f>IFERROR((I400+J400+K400)-(D400+E400+F400+G400-H400),0)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5">
        <f>IFERROR((I401+J401+K401)-(D401+E401+F401+G401-H401),0)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30">
        <f>IFERROR((I402+J402+K402)-(D402+E402+F402+G402-H402),0)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5">
        <f>IFERROR((I403+J403+K403)-(D403+E403+F403+G403-H403),0)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30">
        <f>IFERROR((I404+J404+K404)-(D404+E404+F404+G404-H404),0)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5">
        <f>IFERROR((I405+J405+K405)-(D405+E405+F405+G405-H405),0)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30">
        <f>IFERROR((I406+J406+K406)-(D406+E406+F406+G406-H406),0)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5">
        <f>IFERROR((I407+J407+K407)-(D407+E407+F407+G407-H407),0)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30">
        <f>IFERROR((I408+J408+K408)-(D408+E408+F408+G408-H408),0)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5">
        <f>IFERROR((I409+J409+K409)-(D409+E409+F409+G409-H409),0)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30">
        <f>IFERROR((I410+J410+K410)-(D410+E410+F410+G410-H410),0)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5">
        <f>IFERROR((I411+J411+K411)-(D411+E411+F411+G411-H411),0)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30">
        <f>IFERROR((I412+J412+K412)-(D412+E412+F412+G412-H412),0)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5">
        <f>IFERROR((I413+J413+K413)-(D413+E413+F413+G413-H413),0)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30">
        <f>IFERROR((I414+J414+K414)-(D414+E414+F414+G414-H414),0)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5">
        <f>IFERROR((I415+J415+K415)-(D415+E415+F415+G415-H415),0)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30">
        <f>IFERROR((I416+J416+K416)-(D416+E416+F416+G416-H416),0)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5">
        <f>IFERROR((I417+J417+K417)-(D417+E417+F417+G417-H417),0)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30">
        <f>IFERROR((I418+J418+K418)-(D418+E418+F418+G418-H418),0)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5">
        <f>IFERROR((I419+J419+K419)-(D419+E419+F419+G419-H419),0)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30">
        <f>IFERROR((I420+J420+K420)-(D420+E420+F420+G420-H420),0)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5">
        <f>IFERROR((I421+J421+K421)-(D421+E421+F421+G421-H421),0)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30">
        <f>IFERROR((I422+J422+K422)-(D422+E422+F422+G422-H422),0)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5">
        <f>IFERROR((I423+J423+K423)-(D423+E423+F423+G423-H423),0)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30">
        <f>IFERROR((I424+J424+K424)-(D424+E424+F424+G424-H424),0)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5">
        <f>IFERROR((I425+J425+K425)-(D425+E425+F425+G425-H425),0)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30">
        <f>IFERROR((I426+J426+K426)-(D426+E426+F426+G426-H426),0)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5">
        <f>IFERROR((I427+J427+K427)-(D427+E427+F427+G427-H427),0)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30">
        <f>IFERROR((I428+J428+K428)-(D428+E428+F428+G428-H428),0)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5">
        <f>IFERROR((I429+J429+K429)-(D429+E429+F429+G429-H429),0)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30">
        <f>IFERROR((I430+J430+K430)-(D430+E430+F430+G430-H430),0)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5">
        <f>IFERROR((I431+J431+K431)-(D431+E431+F431+G431-H431),0)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30">
        <f>IFERROR((I432+J432+K432)-(D432+E432+F432+G432-H432),0)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5">
        <f>IFERROR((I433+J433+K433)-(D433+E433+F433+G433-H433),0)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30">
        <f>IFERROR((I434+J434+K434)-(D434+E434+F434+G434-H434),0)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5">
        <f>IFERROR((I435+J435+K435)-(D435+E435+F435+G435-H435),0)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30">
        <f>IFERROR((I436+J436+K436)-(D436+E436+F436+G436-H436),0)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5">
        <f>IFERROR((I437+J437+K437)-(D437+E437+F437+G437-H437),0)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30">
        <f>IFERROR((I438+J438+K438)-(D438+E438+F438+G438-H438),0)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5">
        <f>IFERROR((I439+J439+K439)-(D439+E439+F439+G439-H439),0)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30">
        <f>IFERROR((I440+J440+K440)-(D440+E440+F440+G440-H440),0)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5">
        <f>IFERROR((I441+J441+K441)-(D441+E441+F441+G441-H441),0)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30">
        <f>IFERROR((I442+J442+K442)-(D442+E442+F442+G442-H442),0)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5">
        <f>IFERROR((I443+J443+K443)-(D443+E443+F443+G443-H443),0)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30">
        <f>IFERROR((I444+J444+K444)-(D444+E444+F444+G444-H444),0)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5">
        <f>IFERROR((I445+J445+K445)-(D445+E445+F445+G445-H445),0)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30">
        <f>IFERROR((I446+J446+K446)-(D446+E446+F446+G446-H446),0)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5">
        <f>IFERROR((I447+J447+K447)-(D447+E447+F447+G447-H447),0)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30">
        <f>IFERROR((I448+J448+K448)-(D448+E448+F448+G448-H448),0)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5">
        <f>IFERROR((I449+J449+K449)-(D449+E449+F449+G449-H449),0)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30">
        <f>IFERROR((I450+J450+K450)-(D450+E450+F450+G450-H450),0)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5">
        <f>IFERROR((I451+J451+K451)-(D451+E451+F451+G451-H451),0)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30">
        <f>IFERROR((I452+J452+K452)-(D452+E452+F452+G452-H452),0)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5">
        <f>IFERROR((I453+J453+K453)-(D453+E453+F453+G453-H453),0)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30">
        <f>IFERROR((I454+J454+K454)-(D454+E454+F454+G454-H454),0)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5">
        <f>IFERROR((I455+J455+K455)-(D455+E455+F455+G455-H455),0)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30">
        <f>IFERROR((I456+J456+K456)-(D456+E456+F456+G456-H456),0)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5">
        <f>IFERROR((I457+J457+K457)-(D457+E457+F457+G457-H457),0)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30">
        <f>IFERROR((I458+J458+K458)-(D458+E458+F458+G458-H458),0)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5">
        <f>IFERROR((I459+J459+K459)-(D459+E459+F459+G459-H459),0)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30">
        <f>IFERROR((I460+J460+K460)-(D460+E460+F460+G460-H460),0)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5">
        <f>IFERROR((I461+J461+K461)-(D461+E461+F461+G461-H461),0)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30">
        <f>IFERROR((I462+J462+K462)-(D462+E462+F462+G462-H462),0)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5">
        <f>IFERROR((I463+J463+K463)-(D463+E463+F463+G463-H463),0)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30">
        <f>IFERROR((I464+J464+K464)-(D464+E464+F464+G464-H464),0)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5">
        <f>IFERROR((I465+J465+K465)-(D465+E465+F465+G465-H465),0)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30">
        <f>IFERROR((I466+J466+K466)-(D466+E466+F466+G466-H466),0)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5">
        <f>IFERROR((I467+J467+K467)-(D467+E467+F467+G467-H467),0)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30">
        <f>IFERROR((I468+J468+K468)-(D468+E468+F468+G468-H468),0)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5">
        <f>IFERROR((I469+J469+K469)-(D469+E469+F469+G469-H469),0)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30">
        <f>IFERROR((I470+J470+K470)-(D470+E470+F470+G470-H470),0)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5">
        <f>IFERROR((I471+J471+K471)-(D471+E471+F471+G471-H471),0)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30">
        <f>IFERROR((I472+J472+K472)-(D472+E472+F472+G472-H472),0)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5">
        <f>IFERROR((I473+J473+K473)-(D473+E473+F473+G473-H473),0)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30">
        <f>IFERROR((I474+J474+K474)-(D474+E474+F474+G474-H474),0)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5">
        <f>IFERROR((I475+J475+K475)-(D475+E475+F475+G475-H475),0)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30">
        <f>IFERROR((I476+J476+K476)-(D476+E476+F476+G476-H476),0)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5">
        <f>IFERROR((I477+J477+K477)-(D477+E477+F477+G477-H477),0)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30">
        <f>IFERROR((I478+J478+K478)-(D478+E478+F478+G478-H478),0)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5">
        <f>IFERROR((I479+J479+K479)-(D479+E479+F479+G479-H479),0)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30">
        <f>IFERROR((I480+J480+K480)-(D480+E480+F480+G480-H480),0)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5">
        <f>IFERROR((I481+J481+K481)-(D481+E481+F481+G481-H481),0)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30">
        <f>IFERROR((I482+J482+K482)-(D482+E482+F482+G482-H482),0)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5">
        <f>IFERROR((I483+J483+K483)-(D483+E483+F483+G483-H483),0)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30">
        <f>IFERROR((I484+J484+K484)-(D484+E484+F484+G484-H484),0)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5">
        <f>IFERROR((I485+J485+K485)-(D485+E485+F485+G485-H485),0)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30">
        <f>IFERROR((I486+J486+K486)-(D486+E486+F486+G486-H486),0)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5">
        <f>IFERROR((I487+J487+K487)-(D487+E487+F487+G487-H487),0)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30">
        <f>IFERROR((I488+J488+K488)-(D488+E488+F488+G488-H488),0)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5">
        <f>IFERROR((I489+J489+K489)-(D489+E489+F489+G489-H489),0)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30">
        <f>IFERROR((I490+J490+K490)-(D490+E490+F490+G490-H490),0)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5">
        <f>IFERROR((I491+J491+K491)-(D491+E491+F491+G491-H491),0)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30">
        <f>IFERROR((I492+J492+K492)-(D492+E492+F492+G492-H492),0)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5">
        <f>IFERROR((I493+J493+K493)-(D493+E493+F493+G493-H493),0)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30">
        <f>IFERROR((I494+J494+K494)-(D494+E494+F494+G494-H494),0)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5">
        <f>IFERROR((I495+J495+K495)-(D495+E495+F495+G495-H495),0)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30">
        <f>IFERROR((I496+J496+K496)-(D496+E496+F496+G496-H496),0)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5">
        <f>IFERROR((I497+J497+K497)-(D497+E497+F497+G497-H497),0)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30">
        <f>IFERROR((I498+J498+K498)-(D498+E498+F498+G498-H498),0)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5">
        <f>IFERROR((I499+J499+K499)-(D499+E499+F499+G499-H499),0)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30">
        <f>IFERROR((I500+J500+K500)-(D500+E500+F500+G500-H500),0)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5">
        <f>IFERROR((I501+J501+K501)-(D501+E501+F501+G501-H501),0)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30">
        <f>IFERROR((I502+J502+K502)-(D502+E502+F502+G502-H502),0)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5">
        <f>IFERROR((I503+J503+K503)-(D503+E503+F503+G503-H503),0)</f>
        <v/>
      </c>
    </row>
  </sheetData>
  <mergeCells count="2">
    <mergeCell ref="A2:L2"/>
    <mergeCell ref="A1:L1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46166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SUMPRODUCT((БАЗА_ДДС!$A$4:$A$3003&gt;=(DATE(ДАШБОРД!$E$4,1,1)))*(БАЗА_ДДС!$A$4:$A$3003&lt;=(EOMONTH(DATE(ДАШБОРД!$E$4,1,1),0)))*(БАЗА_ДДС!$D$4:$D$3003="Доход")*БАЗА_ДДС!$G$4:$G$3003)</f>
        <v/>
      </c>
      <c r="C2" s="77">
        <f>SUMPRODUCT((БАЗА_ДДС!$A$4:$A$3003&gt;=(DATE(ДАШБОРД!$E$4,1,1)))*(БАЗА_ДДС!$A$4:$A$3003&lt;=(EOMONTH(DATE(ДАШБОРД!$E$4,1,1),0)))*(БАЗА_ДДС!$D$4:$D$3003="Расход")*БАЗА_ДДС!$G$4:$G$3003)</f>
        <v/>
      </c>
      <c r="D2" s="77">
        <f>SUMPRODUCT((БАЗА_ДДС!$A$4:$A$3003&gt;=(DATE(ДАШБОРД!$E$4,1,1)))*(БАЗА_ДДС!$A$4:$A$3003&lt;=(EOMONTH(DATE(ДАШБОРД!$E$4,1,1),0)))*(БАЗА_ДДС!$E$4:$E$3003="Закуп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SUMPRODUCT((БАЗА_ДДС!$A$4:$A$3003&gt;=(DATE(ДАШБОРД!$E$4,2,1)))*(БАЗА_ДДС!$A$4:$A$3003&lt;=(EOMONTH(DATE(ДАШБОРД!$E$4,2,1),0)))*(БАЗА_ДДС!$D$4:$D$3003="Доход")*БАЗА_ДДС!$G$4:$G$3003)</f>
        <v/>
      </c>
      <c r="C3" s="77">
        <f>SUMPRODUCT((БАЗА_ДДС!$A$4:$A$3003&gt;=(DATE(ДАШБОРД!$E$4,2,1)))*(БАЗА_ДДС!$A$4:$A$3003&lt;=(EOMONTH(DATE(ДАШБОРД!$E$4,2,1),0)))*(БАЗА_ДДС!$D$4:$D$3003="Расход")*БАЗА_ДДС!$G$4:$G$3003)</f>
        <v/>
      </c>
      <c r="D3" s="77">
        <f>SUMPRODUCT((БАЗА_ДДС!$A$4:$A$3003&gt;=(DATE(ДАШБОРД!$E$4,2,1)))*(БАЗА_ДДС!$A$4:$A$3003&lt;=(EOMONTH(DATE(ДАШБОРД!$E$4,2,1),0)))*(БАЗА_ДДС!$E$4:$E$3003="Закуп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SUMPRODUCT((БАЗА_ДДС!$A$4:$A$3003&gt;=(DATE(ДАШБОРД!$E$4,3,1)))*(БАЗА_ДДС!$A$4:$A$3003&lt;=(EOMONTH(DATE(ДАШБОРД!$E$4,3,1),0)))*(БАЗА_ДДС!$D$4:$D$3003="Доход")*БАЗА_ДДС!$G$4:$G$3003)</f>
        <v/>
      </c>
      <c r="C4" s="77">
        <f>SUMPRODUCT((БАЗА_ДДС!$A$4:$A$3003&gt;=(DATE(ДАШБОРД!$E$4,3,1)))*(БАЗА_ДДС!$A$4:$A$3003&lt;=(EOMONTH(DATE(ДАШБОРД!$E$4,3,1),0)))*(БАЗА_ДДС!$D$4:$D$3003="Расход")*БАЗА_ДДС!$G$4:$G$3003)</f>
        <v/>
      </c>
      <c r="D4" s="77">
        <f>SUMPRODUCT((БАЗА_ДДС!$A$4:$A$3003&gt;=(DATE(ДАШБОРД!$E$4,3,1)))*(БАЗА_ДДС!$A$4:$A$3003&lt;=(EOMONTH(DATE(ДАШБОРД!$E$4,3,1),0)))*(БАЗА_ДДС!$E$4:$E$3003="Закуп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SUMPRODUCT((БАЗА_ДДС!$A$4:$A$3003&gt;=(DATE(ДАШБОРД!$E$4,4,1)))*(БАЗА_ДДС!$A$4:$A$3003&lt;=(EOMONTH(DATE(ДАШБОРД!$E$4,4,1),0)))*(БАЗА_ДДС!$D$4:$D$3003="Доход")*БАЗА_ДДС!$G$4:$G$3003)</f>
        <v/>
      </c>
      <c r="C5" s="77">
        <f>SUMPRODUCT((БАЗА_ДДС!$A$4:$A$3003&gt;=(DATE(ДАШБОРД!$E$4,4,1)))*(БАЗА_ДДС!$A$4:$A$3003&lt;=(EOMONTH(DATE(ДАШБОРД!$E$4,4,1),0)))*(БАЗА_ДДС!$D$4:$D$3003="Расход")*БАЗА_ДДС!$G$4:$G$3003)</f>
        <v/>
      </c>
      <c r="D5" s="77">
        <f>SUMPRODUCT((БАЗА_ДДС!$A$4:$A$3003&gt;=(DATE(ДАШБОРД!$E$4,4,1)))*(БАЗА_ДДС!$A$4:$A$3003&lt;=(EOMONTH(DATE(ДАШБОРД!$E$4,4,1),0)))*(БАЗА_ДДС!$E$4:$E$3003="Закуп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SUMPRODUCT((БАЗА_ДДС!$A$4:$A$3003&gt;=(DATE(ДАШБОРД!$E$4,5,1)))*(БАЗА_ДДС!$A$4:$A$3003&lt;=(EOMONTH(DATE(ДАШБОРД!$E$4,5,1),0)))*(БАЗА_ДДС!$D$4:$D$3003="Доход")*БАЗА_ДДС!$G$4:$G$3003)</f>
        <v/>
      </c>
      <c r="C6" s="77">
        <f>SUMPRODUCT((БАЗА_ДДС!$A$4:$A$3003&gt;=(DATE(ДАШБОРД!$E$4,5,1)))*(БАЗА_ДДС!$A$4:$A$3003&lt;=(EOMONTH(DATE(ДАШБОРД!$E$4,5,1),0)))*(БАЗА_ДДС!$D$4:$D$3003="Расход")*БАЗА_ДДС!$G$4:$G$3003)</f>
        <v/>
      </c>
      <c r="D6" s="77">
        <f>SUMPRODUCT((БАЗА_ДДС!$A$4:$A$3003&gt;=(DATE(ДАШБОРД!$E$4,5,1)))*(БАЗА_ДДС!$A$4:$A$3003&lt;=(EOMONTH(DATE(ДАШБОРД!$E$4,5,1),0)))*(БАЗА_ДДС!$E$4:$E$3003="Закуп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SUMPRODUCT((БАЗА_ДДС!$A$4:$A$3003&gt;=(DATE(ДАШБОРД!$E$4,6,1)))*(БАЗА_ДДС!$A$4:$A$3003&lt;=(EOMONTH(DATE(ДАШБОРД!$E$4,6,1),0)))*(БАЗА_ДДС!$D$4:$D$3003="Доход")*БАЗА_ДДС!$G$4:$G$3003)</f>
        <v/>
      </c>
      <c r="C7" s="77">
        <f>SUMPRODUCT((БАЗА_ДДС!$A$4:$A$3003&gt;=(DATE(ДАШБОРД!$E$4,6,1)))*(БАЗА_ДДС!$A$4:$A$3003&lt;=(EOMONTH(DATE(ДАШБОРД!$E$4,6,1),0)))*(БАЗА_ДДС!$D$4:$D$3003="Расход")*БАЗА_ДДС!$G$4:$G$3003)</f>
        <v/>
      </c>
      <c r="D7" s="77">
        <f>SUMPRODUCT((БАЗА_ДДС!$A$4:$A$3003&gt;=(DATE(ДАШБОРД!$E$4,6,1)))*(БАЗА_ДДС!$A$4:$A$3003&lt;=(EOMONTH(DATE(ДАШБОРД!$E$4,6,1),0)))*(БАЗА_ДДС!$E$4:$E$3003="Закуп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SUMPRODUCT((БАЗА_ДДС!$A$4:$A$3003&gt;=(DATE(ДАШБОРД!$E$4,7,1)))*(БАЗА_ДДС!$A$4:$A$3003&lt;=(EOMONTH(DATE(ДАШБОРД!$E$4,7,1),0)))*(БАЗА_ДДС!$D$4:$D$3003="Доход")*БАЗА_ДДС!$G$4:$G$3003)</f>
        <v/>
      </c>
      <c r="C8" s="77">
        <f>SUMPRODUCT((БАЗА_ДДС!$A$4:$A$3003&gt;=(DATE(ДАШБОРД!$E$4,7,1)))*(БАЗА_ДДС!$A$4:$A$3003&lt;=(EOMONTH(DATE(ДАШБОРД!$E$4,7,1),0)))*(БАЗА_ДДС!$D$4:$D$3003="Расход")*БАЗА_ДДС!$G$4:$G$3003)</f>
        <v/>
      </c>
      <c r="D8" s="77">
        <f>SUMPRODUCT((БАЗА_ДДС!$A$4:$A$3003&gt;=(DATE(ДАШБОРД!$E$4,7,1)))*(БАЗА_ДДС!$A$4:$A$3003&lt;=(EOMONTH(DATE(ДАШБОРД!$E$4,7,1),0)))*(БАЗА_ДДС!$E$4:$E$3003="Закуп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SUMPRODUCT((БАЗА_ДДС!$A$4:$A$3003&gt;=(DATE(ДАШБОРД!$E$4,8,1)))*(БАЗА_ДДС!$A$4:$A$3003&lt;=(EOMONTH(DATE(ДАШБОРД!$E$4,8,1),0)))*(БАЗА_ДДС!$D$4:$D$3003="Доход")*БАЗА_ДДС!$G$4:$G$3003)</f>
        <v/>
      </c>
      <c r="C9" s="77">
        <f>SUMPRODUCT((БАЗА_ДДС!$A$4:$A$3003&gt;=(DATE(ДАШБОРД!$E$4,8,1)))*(БАЗА_ДДС!$A$4:$A$3003&lt;=(EOMONTH(DATE(ДАШБОРД!$E$4,8,1),0)))*(БАЗА_ДДС!$D$4:$D$3003="Расход")*БАЗА_ДДС!$G$4:$G$3003)</f>
        <v/>
      </c>
      <c r="D9" s="77">
        <f>SUMPRODUCT((БАЗА_ДДС!$A$4:$A$3003&gt;=(DATE(ДАШБОРД!$E$4,8,1)))*(БАЗА_ДДС!$A$4:$A$3003&lt;=(EOMONTH(DATE(ДАШБОРД!$E$4,8,1),0)))*(БАЗА_ДДС!$E$4:$E$3003="Закуп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SUMPRODUCT((БАЗА_ДДС!$A$4:$A$3003&gt;=(DATE(ДАШБОРД!$E$4,9,1)))*(БАЗА_ДДС!$A$4:$A$3003&lt;=(EOMONTH(DATE(ДАШБОРД!$E$4,9,1),0)))*(БАЗА_ДДС!$D$4:$D$3003="Доход")*БАЗА_ДДС!$G$4:$G$3003)</f>
        <v/>
      </c>
      <c r="C10" s="77">
        <f>SUMPRODUCT((БАЗА_ДДС!$A$4:$A$3003&gt;=(DATE(ДАШБОРД!$E$4,9,1)))*(БАЗА_ДДС!$A$4:$A$3003&lt;=(EOMONTH(DATE(ДАШБОРД!$E$4,9,1),0)))*(БАЗА_ДДС!$D$4:$D$3003="Расход")*БАЗА_ДДС!$G$4:$G$3003)</f>
        <v/>
      </c>
      <c r="D10" s="77">
        <f>SUMPRODUCT((БАЗА_ДДС!$A$4:$A$3003&gt;=(DATE(ДАШБОРД!$E$4,9,1)))*(БАЗА_ДДС!$A$4:$A$3003&lt;=(EOMONTH(DATE(ДАШБОРД!$E$4,9,1),0)))*(БАЗА_ДДС!$E$4:$E$3003="Закуп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SUMPRODUCT((БАЗА_ДДС!$A$4:$A$3003&gt;=(DATE(ДАШБОРД!$E$4,10,1)))*(БАЗА_ДДС!$A$4:$A$3003&lt;=(EOMONTH(DATE(ДАШБОРД!$E$4,10,1),0)))*(БАЗА_ДДС!$D$4:$D$3003="Доход")*БАЗА_ДДС!$G$4:$G$3003)</f>
        <v/>
      </c>
      <c r="C11" s="77">
        <f>SUMPRODUCT((БАЗА_ДДС!$A$4:$A$3003&gt;=(DATE(ДАШБОРД!$E$4,10,1)))*(БАЗА_ДДС!$A$4:$A$3003&lt;=(EOMONTH(DATE(ДАШБОРД!$E$4,10,1),0)))*(БАЗА_ДДС!$D$4:$D$3003="Расход")*БАЗА_ДДС!$G$4:$G$3003)</f>
        <v/>
      </c>
      <c r="D11" s="77">
        <f>SUMPRODUCT((БАЗА_ДДС!$A$4:$A$3003&gt;=(DATE(ДАШБОРД!$E$4,10,1)))*(БАЗА_ДДС!$A$4:$A$3003&lt;=(EOMONTH(DATE(ДАШБОРД!$E$4,10,1),0)))*(БАЗА_ДДС!$E$4:$E$3003="Закуп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SUMPRODUCT((БАЗА_ДДС!$A$4:$A$3003&gt;=(DATE(ДАШБОРД!$E$4,11,1)))*(БАЗА_ДДС!$A$4:$A$3003&lt;=(EOMONTH(DATE(ДАШБОРД!$E$4,11,1),0)))*(БАЗА_ДДС!$D$4:$D$3003="Доход")*БАЗА_ДДС!$G$4:$G$3003)</f>
        <v/>
      </c>
      <c r="C12" s="77">
        <f>SUMPRODUCT((БАЗА_ДДС!$A$4:$A$3003&gt;=(DATE(ДАШБОРД!$E$4,11,1)))*(БАЗА_ДДС!$A$4:$A$3003&lt;=(EOMONTH(DATE(ДАШБОРД!$E$4,11,1),0)))*(БАЗА_ДДС!$D$4:$D$3003="Расход")*БАЗА_ДДС!$G$4:$G$3003)</f>
        <v/>
      </c>
      <c r="D12" s="77">
        <f>SUMPRODUCT((БАЗА_ДДС!$A$4:$A$3003&gt;=(DATE(ДАШБОРД!$E$4,11,1)))*(БАЗА_ДДС!$A$4:$A$3003&lt;=(EOMONTH(DATE(ДАШБОРД!$E$4,11,1),0)))*(БАЗА_ДДС!$E$4:$E$3003="Закуп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SUMPRODUCT((БАЗА_ДДС!$A$4:$A$3003&gt;=(DATE(ДАШБОРД!$E$4,12,1)))*(БАЗА_ДДС!$A$4:$A$3003&lt;=(EOMONTH(DATE(ДАШБОРД!$E$4,12,1),0)))*(БАЗА_ДДС!$D$4:$D$3003="Доход")*БАЗА_ДДС!$G$4:$G$3003)</f>
        <v/>
      </c>
      <c r="C13" s="77">
        <f>SUMPRODUCT((БАЗА_ДДС!$A$4:$A$3003&gt;=(DATE(ДАШБОРД!$E$4,12,1)))*(БАЗА_ДДС!$A$4:$A$3003&lt;=(EOMONTH(DATE(ДАШБОРД!$E$4,12,1),0)))*(БАЗА_ДДС!$D$4:$D$3003="Расход")*БАЗА_ДДС!$G$4:$G$3003)</f>
        <v/>
      </c>
      <c r="D13" s="77">
        <f>SUMPRODUCT((БАЗА_ДДС!$A$4:$A$3003&gt;=(DATE(ДАШБОРД!$E$4,12,1)))*(БАЗА_ДДС!$A$4:$A$3003&lt;=(EOMONTH(DATE(ДАШБОРД!$E$4,12,1),0)))*(БАЗА_ДДС!$E$4:$E$3003="Закуп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  <c r="C71" s="77">
        <f>SUMPRODUCT((БАЗА_ДДС!$A$4:$A$3003&gt;=(DATE(ДАШБОРД!$E$4,1,1)))*(БАЗА_ДДС!$A$4:$A$3003&lt;=(EOMONTH(DATE(ДАШБОРД!$E$4,1,1),0)))*(БАЗА_ДДС!$D$4:$D$3003="Оплата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  <c r="C72" s="77">
        <f>SUMPRODUCT((БАЗА_ДДС!$A$4:$A$3003&gt;=(DATE(ДАШБОРД!$E$4,2,1)))*(БАЗА_ДДС!$A$4:$A$3003&lt;=(EOMONTH(DATE(ДАШБОРД!$E$4,2,1),0)))*(БАЗА_ДДС!$D$4:$D$3003="Оплата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  <c r="C73" s="77">
        <f>SUMPRODUCT((БАЗА_ДДС!$A$4:$A$3003&gt;=(DATE(ДАШБОРД!$E$4,3,1)))*(БАЗА_ДДС!$A$4:$A$3003&lt;=(EOMONTH(DATE(ДАШБОРД!$E$4,3,1),0)))*(БАЗА_ДДС!$D$4:$D$3003="Оплата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  <c r="C74" s="77">
        <f>SUMPRODUCT((БАЗА_ДДС!$A$4:$A$3003&gt;=(DATE(ДАШБОРД!$E$4,4,1)))*(БАЗА_ДДС!$A$4:$A$3003&lt;=(EOMONTH(DATE(ДАШБОРД!$E$4,4,1),0)))*(БАЗА_ДДС!$D$4:$D$3003="Оплата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  <c r="C75" s="77">
        <f>SUMPRODUCT((БАЗА_ДДС!$A$4:$A$3003&gt;=(DATE(ДАШБОРД!$E$4,5,1)))*(БАЗА_ДДС!$A$4:$A$3003&lt;=(EOMONTH(DATE(ДАШБОРД!$E$4,5,1),0)))*(БАЗА_ДДС!$D$4:$D$3003="Оплата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  <c r="C76" s="77">
        <f>SUMPRODUCT((БАЗА_ДДС!$A$4:$A$3003&gt;=(DATE(ДАШБОРД!$E$4,6,1)))*(БАЗА_ДДС!$A$4:$A$3003&lt;=(EOMONTH(DATE(ДАШБОРД!$E$4,6,1),0)))*(БАЗА_ДДС!$D$4:$D$3003="Оплата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  <c r="C77" s="77">
        <f>SUMPRODUCT((БАЗА_ДДС!$A$4:$A$3003&gt;=(DATE(ДАШБОРД!$E$4,7,1)))*(БАЗА_ДДС!$A$4:$A$3003&lt;=(EOMONTH(DATE(ДАШБОРД!$E$4,7,1),0)))*(БАЗА_ДДС!$D$4:$D$3003="Оплата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  <c r="C78" s="77">
        <f>SUMPRODUCT((БАЗА_ДДС!$A$4:$A$3003&gt;=(DATE(ДАШБОРД!$E$4,8,1)))*(БАЗА_ДДС!$A$4:$A$3003&lt;=(EOMONTH(DATE(ДАШБОРД!$E$4,8,1),0)))*(БАЗА_ДДС!$D$4:$D$3003="Оплата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  <c r="C79" s="77">
        <f>SUMPRODUCT((БАЗА_ДДС!$A$4:$A$3003&gt;=(DATE(ДАШБОРД!$E$4,9,1)))*(БАЗА_ДДС!$A$4:$A$3003&lt;=(EOMONTH(DATE(ДАШБОРД!$E$4,9,1),0)))*(БАЗА_ДДС!$D$4:$D$3003="Оплата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  <c r="C80" s="77">
        <f>SUMPRODUCT((БАЗА_ДДС!$A$4:$A$3003&gt;=(DATE(ДАШБОРД!$E$4,10,1)))*(БАЗА_ДДС!$A$4:$A$3003&lt;=(EOMONTH(DATE(ДАШБОРД!$E$4,10,1),0)))*(БАЗА_ДДС!$D$4:$D$3003="Оплата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  <c r="C81" s="77">
        <f>SUMPRODUCT((БАЗА_ДДС!$A$4:$A$3003&gt;=(DATE(ДАШБОРД!$E$4,11,1)))*(БАЗА_ДДС!$A$4:$A$3003&lt;=(EOMONTH(DATE(ДАШБОРД!$E$4,11,1),0)))*(БАЗА_ДДС!$D$4:$D$3003="Оплата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  <c r="C82" s="77">
        <f>SUMPRODUCT((БАЗА_ДДС!$A$4:$A$3003&gt;=(DATE(ДАШБОРД!$E$4,12,1)))*(БАЗА_ДДС!$A$4:$A$3003&lt;=(EOMONTH(DATE(ДАШБОРД!$E$4,12,1),0)))*(БАЗА_ДДС!$D$4:$D$3003="Оплата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IFERROR(SUMPRODUCT((БАЗА_ДДС!$A$4:$A$3003&gt;=ДАШБОРД!$A$5)*(БАЗА_ДДС!$A$4:$A$3003&lt;=ДАШБОРД!$B$5)*(БАЗА_ДДС!$D$4:$D$3003="Доход")*БАЗА_ДДС!$G$4:$G$3003),0)</f>
        <v/>
      </c>
      <c r="C100" s="77">
        <f>IFERROR(SUMPRODUCT((БАЗА_ДДС!$A$4:$A$3003&gt;=ДАШБОРД!$C$5)*(БАЗА_ДДС!$A$4:$A$3003&lt;=ДАШБОРД!$D$5)*(БАЗА_ДДС!$D$4:$D$3003="Доход")*БАЗА_ДДС!$G$4:$G$3003),0)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),0)),0)</f>
        <v/>
      </c>
      <c r="C102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IFERROR(MAXIFS(БАЗА_ДДС!$G$4:$G$3003,БАЗА_ДДС!$A$4:$A$3003,"&gt;="&amp;ДАШБОРД!$A$5,БАЗА_ДДС!$A$4:$A$3003,"&lt;="&amp;ДАШБОРД!$B$5,БАЗА_ДДС!$D$4:$D$3003,"Доход"),0)</f>
        <v/>
      </c>
      <c r="C103" s="77">
        <f>IFERROR(MAXIFS(БАЗА_ДДС!$G$4:$G$3003,БАЗА_ДДС!$A$4:$A$3003,"&gt;="&amp;ДАШБОРД!$C$5,БАЗА_ДДС!$A$4:$A$3003,"&lt;="&amp;ДАШБОРД!$D$5,БАЗА_ДДС!$D$4:$D$3003,"Доход"),0)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IFERROR(SUMPRODUCT((БАЗА_ДДС!$A$4:$A$3003&gt;=ДАШБОРД!$A$5)*(БАЗА_ДДС!$A$4:$A$3003&lt;=ДАШБОРД!$B$5)*(БАЗА_ДДС!$D$4:$D$3003="Расход")*(БАЗА_ДДС!$E$4:$E$3003="Выплата с кассы")*БАЗА_ДДС!$G$4:$G$3003),0)</f>
        <v/>
      </c>
      <c r="C104" s="77">
        <f>IFERROR(SUMPRODUCT((БАЗА_ДДС!$A$4:$A$3003&gt;=ДАШБОРД!$C$5)*(БАЗА_ДДС!$A$4:$A$3003&lt;=ДАШБОРД!$D$5)*(БАЗА_ДДС!$D$4:$D$3003="Расход")*(БАЗА_ДДС!$E$4:$E$3003="Выплата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IFERROR(SUMPRODUCT((БАЗА_ДДС!$A$4:$A$3003&gt;=ДАШБОРД!$A$5)*(БАЗА_ДДС!$A$4:$A$3003&lt;=ДАШБОРД!$B$5)*(БАЗА_ДДС!$D$4:$D$3003="Расхождение")*БАЗА_ДДС!$G$4:$G$3003),0)</f>
        <v/>
      </c>
      <c r="C105" s="77">
        <f>IFERROR(SUMPRODUCT((БАЗА_ДДС!$A$4:$A$3003&gt;=ДАШБОРД!$C$5)*(БАЗА_ДДС!$A$4:$A$3003&lt;=ДАШБОРД!$D$5)*(БАЗА_ДДС!$D$4:$D$3003="Расхождение")*БАЗА_ДДС!$G$4:$G$3003),0)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IFERROR(SUMPRODUCT((БАЗА_ДДС!$A$4:$A$3003&gt;=ДАШБОРД!$A$5)*(БАЗА_ДДС!$A$4:$A$3003&lt;=ДАШБОРД!$B$5)*(БАЗА_ДДС!$D$4:$D$3003="Расхождение")*(БАЗА_ДДС!$G$4:$G$3003&lt;&gt;"")),0)</f>
        <v/>
      </c>
      <c r="C106">
        <f>IFERROR(SUMPRODUCT((БАЗА_ДДС!$A$4:$A$3003&gt;=ДАШБОРД!$C$5)*(БАЗА_ДДС!$A$4:$A$3003&lt;=ДАШБОРД!$D$5)*(БАЗА_ДДС!$D$4:$D$3003="Расхождение")*(БАЗА_ДДС!$G$4:$G$3003&lt;&gt;"")*(1)),0)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IFERROR(SUMPRODUCT((БАЗА_ДДС!$A$4:$A$3003&gt;=ДАШБОРД!$A$5)*(БАЗА_ДДС!$A$4:$A$3003&lt;=ДАШБОРД!$B$5)*(БАЗА_ДДС!$D$4:$D$3003="Касса")*БАЗА_ДДС!$G$4:$G$3003),0)</f>
        <v/>
      </c>
      <c r="C107" s="77">
        <f>IFERROR(SUMPRODUCT((БАЗА_ДДС!$A$4:$A$3003&gt;=ДАШБОРД!$C$5)*(БАЗА_ДДС!$A$4:$A$3003&lt;=ДАШБОРД!$D$5)*(БАЗА_ДДС!$D$4:$D$3003="Касса")*БАЗА_ДДС!$G$4:$G$3003),0)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</f>
        <v/>
      </c>
      <c r="C108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IFERROR(SUMPRODUCT((БАЗА_ДДС!$A$4:$A$3003&gt;=ДАШБОРД!$A$5)*(БАЗА_ДДС!$A$4:$A$3003&lt;=ДАШБОРД!$B$5)*(БАЗА_ДДС!$D$4:$D$3003="Долг")*БАЗА_ДДС!$G$4:$G$3003),0)</f>
        <v/>
      </c>
      <c r="C109" s="77">
        <f>IFERROR(SUMPRODUCT((БАЗА_ДДС!$A$4:$A$3003&gt;=ДАШБОРД!$C$5)*(БАЗА_ДДС!$A$4:$A$3003&lt;=ДАШБОРД!$D$5)*(БАЗА_ДДС!$D$4:$D$3003="Долг")*БАЗА_ДДС!$G$4:$G$3003),0)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IFERROR(SUMPRODUCT((БАЗА_ДДС!$A$4:$A$3003&gt;=ДАШБОРД!$A$5)*(БАЗА_ДДС!$A$4:$A$3003&lt;=ДАШБОРД!$B$5)*(БАЗА_ДДС!$D$4:$D$3003="Оплата долга")*БАЗА_ДДС!$G$4:$G$3003),0)</f>
        <v/>
      </c>
      <c r="C110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долга")*БАЗА_ДДС!$G$4:$G$3003),0)),0)</f>
        <v/>
      </c>
      <c r="C111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12" s="77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IFERROR(SUMPRODUCT((БАЗА_ДДС!$A$4:$A$3003&gt;=ДАШБОРД!$A$5)*(БАЗА_ДДС!$A$4:$A$3003&lt;=ДАШБОРД!$B$5)*(БАЗА_ДДС!$D$4:$D$3003="Расход")*БАЗА_ДДС!$G$4:$G$3003),0)</f>
        <v/>
      </c>
      <c r="C113" s="77">
        <f>IFERROR(SUMPRODUCT((БАЗА_ДДС!$A$4:$A$3003&gt;=ДАШБОРД!$C$5)*(БАЗА_ДДС!$A$4:$A$3003&lt;=ДАШБОРД!$D$5)*(БАЗА_ДДС!$D$4:$D$3003="Расход")*БАЗА_ДДС!$G$4:$G$3003),0)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</f>
        <v/>
      </c>
      <c r="C114" s="77">
        <f>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)/MAX(1,(IFERROR(SUMPRODUCT((БАЗА_ДДС!$A$4:$A$3003&gt;=ДАШБОРД!$A$5)*(БАЗА_ДДС!$A$4:$A$3003&lt;=ДАШБОРД!$B$5)*(БАЗА_ДДС!$D$4:$D$3003="Доход")*БАЗА_ДДС!$G$4:$G$3003),0)))*100,0)</f>
        <v/>
      </c>
      <c r="C115">
        <f>IFERROR((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(БАЗА_ДДС!$E$4:$E$3003="Закуп товара")*БАЗА_ДДС!$G$4:$G$3003),0)))/MAX(1,(IFERROR(SUMPRODUCT((БАЗА_ДДС!$A$4:$A$3003&gt;=ДАШБОРД!$A$5)*(БАЗА_ДДС!$A$4:$A$3003&lt;=ДАШБОРД!$B$5)*(БАЗА_ДДС!$D$4:$D$3003="Доход")*БАЗА_ДДС!$G$4:$G$3003),0)))*100,0)</f>
        <v/>
      </c>
      <c r="C116">
        <f>IFERROR(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(БАЗА_ДДС!$E$4:$E$3003="Закуп товара")*БАЗА_ДДС!$G$4:$G$3003),0)))/MAX(1,(IFERROR(SUMPRODUCT((БАЗА_ДДС!$A$4:$A$3003&gt;=ДАШБОРД!$C$5)*(БАЗА_ДДС!$A$4:$A$3003&lt;=ДАШБОРД!$D$5)*(БАЗА_ДДС!$D$4:$D$3003="Доход")*БАЗА_ДДС!$G$4:$G$3003),0)))*100,0)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ДАШБОРД!$A$5)*(БАЗА_ДДС!$A$4:$A$3003&lt;=ДАШБОРД!$B$5)*(БАЗА_ДДС!$D$4:$D$3003="Доход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товара")*БАЗА_ДДС!$G$4:$G$3003),0))),0)</f>
        <v/>
      </c>
      <c r="C117">
        <f>IFERROR((IFERROR(SUMPRODUCT((БАЗА_ДДС!$A$4:$A$3003&gt;=ДАШБОРД!$C$5)*(БАЗА_ДДС!$A$4:$A$3003&lt;=ДАШБОРД!$D$5)*(БАЗА_ДДС!$D$4:$D$3003="Доход")*БАЗА_ДДС!$G$4:$G$3003),0))/MAX(1,(IFERROR(SUMPRODUCT((БАЗА_ДДС!$A$4:$A$3003&gt;=ДАШБОРД!$C$5)*(БАЗА_ДДС!$A$4:$A$3003&lt;=ДАШБОРД!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долга")*БАЗА_ДДС!$G$4:$G$3003),0))/MAX(1,(IFERROR(SUMPRODUCT((БАЗА_ДДС!$A$4:$A$3003&gt;=ДАШБОРД!$A$5)*(БАЗА_ДДС!$A$4:$A$3003&lt;=ДАШБОРД!$B$5)*(БАЗА_ДДС!$D$4:$D$3003="Доход")*БАЗА_ДДС!$G$4:$G$3003),0)))*100,0)</f>
        <v/>
      </c>
      <c r="C118">
        <f>IFERROR((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ДАШБОРД!$A$5)*(БАЗА_ДДС!$A$4:$A$3003&lt;=ДАШБОРД!$B$5)*(БАЗА_ДДС!$D$4:$D$3003="Расход")*БАЗА_ДДС!$G$4:$G$3003),0))/MAX(1,(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ДАШБОРД!$C$5)*(БАЗА_ДДС!$A$4:$A$3003&lt;=ДАШБОРД!$D$5)*(БАЗА_ДДС!$D$4:$D$3003="Рас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IFERROR(SUMPRODUCT((ЗАПИСЬ_НА_ВЫПЛАТУ!$B$4:$B$503&gt;=ДАШБОРД!$A$5)*(ЗАПИСЬ_НА_ВЫПЛАТУ!$B$4:$B$503&lt;=ДАШБОРД!$B$5)*(ЗАПИСЬ_НА_ВЫПЛАТУ!$E$4:$E$503="Просрочено")*ЗАПИСЬ_НА_ВЫПЛАТУ!$D$4:$D$503),0)</f>
        <v/>
      </c>
      <c r="C120" s="77">
        <f>IFERROR(SUMPRODUCT((ЗАПИСЬ_НА_ВЫПЛАТУ!$B$4:$B$503&gt;=ДАШБОРД!$C$5)*(ЗАПИСЬ_НА_ВЫПЛАТУ!$B$4:$B$503&lt;=ДАШБОРД!$D$5)*(ЗАПИСЬ_НА_ВЫПЛАТУ!$E$4:$E$503="Просрочено")*ЗАПИСЬ_НА_ВЫПЛАТУ!$D$4:$D$503),0)</f>
        <v/>
      </c>
    </row>
    <row r="121">
      <c r="A121" s="79" t="inlineStr">
        <is>
          <t>Просроч. кол-во</t>
        </is>
      </c>
      <c r="B121">
        <f>IFERROR(SUMPRODUCT((ЗАПИСЬ_НА_ВЫПЛАТУ!$B$4:$B$503&gt;=ДАШБОРД!$A$5)*(ЗАПИСЬ_НА_ВЫПЛАТУ!$B$4:$B$503&lt;=ДАШБОРД!$B$5)*(ЗАПИСЬ_НА_ВЫПЛАТУ!$E$4:$E$503="Просрочено")*(ЗАПИСЬ_НА_ВЫПЛАТУ!$D$4:$D$503&lt;&gt;"")*(1)),0)</f>
        <v/>
      </c>
      <c r="C121">
        <f>IFERROR(SUMPRODUCT((ЗАПИСЬ_НА_ВЫПЛАТУ!$B$4:$B$503&gt;=ДАШБОРД!$C$5)*(ЗАПИСЬ_НА_ВЫПЛАТУ!$B$4:$B$503&lt;=ДАШБОРД!$D$5)*(ЗАПИСЬ_НА_ВЫПЛАТУ!$E$4:$E$503="Просрочено")*(ЗАПИСЬ_НА_ВЫПЛАТУ!$D$4:$D$503&lt;&gt;"")*(1)),0)</f>
        <v/>
      </c>
    </row>
    <row r="122">
      <c r="A122" s="79" t="inlineStr">
        <is>
          <t>Выплачено %</t>
        </is>
      </c>
      <c r="B122">
        <f>IFERROR((IFERROR(SUMPRODUCT((ЗАПИСЬ_НА_ВЫПЛАТУ!$B$4:$B$503&gt;=ДАШБОРД!$A$5)*(ЗАПИСЬ_НА_ВЫПЛАТУ!$B$4:$B$503&lt;=ДАШБОРД!$B$5)*(ЗАПИСЬ_НА_ВЫПЛАТУ!$E$4:$E$503="Выплачено")*ЗАПИСЬ_НА_ВЫПЛАТУ!$D$4:$D$503),0))/MAX(1,(IFERROR(SUMPRODUCT((ЗАПИСЬ_НА_ВЫПЛАТУ!$B$4:$B$503&gt;=ДАШБОРД!$A$5)*(ЗАПИСЬ_НА_ВЫПЛАТУ!$B$4:$B$503&lt;=ДАШБОРД!$B$5)*ЗАПИСЬ_НА_ВЫПЛАТУ!$D$4:$D$503)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IFERROR((IFERROR(SUMPRODUCT((БАЗА_ДДС!$A$4:$A$3003&gt;=ДАШБОРД!$A$5)*(БАЗА_ДДС!$A$4:$A$3003&lt;=ДАШБОРД!$B$5)*(БАЗА_ДДС!$E$4:$E$3003="Закуп товара")*(БАЗА_ДДС!$F$4:$F$3003="Долг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IFERROR(SUMPRODUCT((БАЗА_ДДС!$A$4:$A$3003&gt;=ДАШБОРД!$A$5)*(БАЗА_ДДС!$A$4:$A$3003&lt;=ДАШБОРД!$B$5)*(БАЗА_ДДС!$D$4:$D$3003="Доход")*(БАЗА_ДДС!$G$4:$G$3003&lt;&gt;"")),0)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IFERROR(MAXIFS(БАЗА_ДДС!$G$4:$G$3003,БАЗА_ДДС!$A$4:$A$3003,"&gt;="&amp;ДАШБОРД!$A$5,БАЗА_ДДС!$A$4:$A$3003,"&lt;="&amp;ДАШБОРД!$B$5,БАЗА_ДДС!$D$4:$D$3003,"Доход"),0)</f>
        <v/>
      </c>
      <c r="C126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IFERROR(SUMPRODUCT((БАЗА_ДДС!$A$4:$A$3003&gt;=ДАШБОРД!$A$5)*(БАЗА_ДДС!$A$4:$A$3003&lt;=ДАШБОРД!$B$5)*(БАЗА_ДДС!$D$4:$D$3003="Иман")*БАЗА_ДДС!$G$4:$G$3003),0)</f>
        <v/>
      </c>
      <c r="C128" s="77">
        <f>IFERROR(SUMPRODUCT((БАЗА_ДДС!$A$4:$A$3003&gt;=ДАШБОРД!$C$5)*(БАЗА_ДДС!$A$4:$A$3003&lt;=ДАШБОРД!$D$5)*(БАЗА_ДДС!$D$4:$D$3003="Иман")*БАЗА_ДДС!$G$4:$G$3003),0)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IFERROR(SUMPRODUCT((БАЗА_ДДС!$A$4:$A$3003&gt;=ДАШБОРД!$A$5)*(БАЗА_ДДС!$A$4:$A$3003&lt;=ДАШБОРД!$B$5)*(БАЗА_ДДС!$D$4:$D$3003="Списание")*БАЗА_ДДС!$G$4:$G$3003),0)</f>
        <v/>
      </c>
      <c r="C129" s="77">
        <f>IFERROR(SUMPRODUCT((БАЗА_ДДС!$A$4:$A$3003&gt;=ДАШБОРД!$C$5)*(БАЗА_ДДС!$A$4:$A$3003&lt;=ДАШБОРД!$D$5)*(БАЗА_ДДС!$D$4:$D$3003="Списание")*БАЗА_ДДС!$G$4:$G$3003),0)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IFERROR(B33/IFERROR(SUMPRODUCT((БАЗА_ДДС!$A$4:$A$3003&gt;=ДАШБОРД!$A$5)*(БАЗА_ДДС!$A$4:$A$3003&lt;=ДАШБОРД!$B$5)*(БАЗА_ДДС!$D$4:$D$3003="Расход")*БАЗА_ДДС!$G$4:$G$3003),0)*100,0)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IFERROR(B34/IFERROR(SUMPRODUCT((БАЗА_ДДС!$A$4:$A$3003&gt;=ДАШБОРД!$A$5)*(БАЗА_ДДС!$A$4:$A$3003&lt;=ДАШБОРД!$B$5)*(БАЗА_ДДС!$D$4:$D$3003="Расход")*БАЗА_ДДС!$G$4:$G$3003),0)*100,0)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IFERROR(B35/IFERROR(SUMPRODUCT((БАЗА_ДДС!$A$4:$A$3003&gt;=ДАШБОРД!$A$5)*(БАЗА_ДДС!$A$4:$A$3003&lt;=ДАШБОРД!$B$5)*(БАЗА_ДДС!$D$4:$D$3003="Расход")*БАЗА_ДДС!$G$4:$G$3003),0)*100,0)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IFERROR(B36/IFERROR(SUMPRODUCT((БАЗА_ДДС!$A$4:$A$3003&gt;=ДАШБОРД!$A$5)*(БАЗА_ДДС!$A$4:$A$3003&lt;=ДАШБОРД!$B$5)*(БАЗА_ДДС!$D$4:$D$3003="Расход")*БАЗА_ДДС!$G$4:$G$3003),0)*100,0)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IFERROR(B37/IFERROR(SUMPRODUCT((БАЗА_ДДС!$A$4:$A$3003&gt;=ДАШБОРД!$A$5)*(БАЗА_ДДС!$A$4:$A$3003&lt;=ДАШБОРД!$B$5)*(БАЗА_ДДС!$D$4:$D$3003="Расход")*БАЗА_ДДС!$G$4:$G$3003),0)*100,0)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IFERROR(B38/IFERROR(SUMPRODUCT((БАЗА_ДДС!$A$4:$A$3003&gt;=ДАШБОРД!$A$5)*(БАЗА_ДДС!$A$4:$A$3003&lt;=ДАШБОРД!$B$5)*(БАЗА_ДДС!$D$4:$D$3003="Расход")*БАЗА_ДДС!$G$4:$G$3003),0)*100,0)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IFERROR(B39/IFERROR(SUMPRODUCT((БАЗА_ДДС!$A$4:$A$3003&gt;=ДАШБОРД!$A$5)*(БАЗА_ДДС!$A$4:$A$3003&lt;=ДАШБОРД!$B$5)*(БАЗА_ДДС!$D$4:$D$3003="Расход")*БАЗА_ДДС!$G$4:$G$3003),0)*100,0)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IFERROR(B40/IFERROR(SUMPRODUCT((БАЗА_ДДС!$A$4:$A$3003&gt;=ДАШБОРД!$A$5)*(БАЗА_ДДС!$A$4:$A$3003&lt;=ДАШБОРД!$B$5)*(БАЗА_ДДС!$D$4:$D$3003="Расход")*БАЗА_ДДС!$G$4:$G$3003),0)*100,0)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IFERROR(B41/IFERROR(SUMPRODUCT((БАЗА_ДДС!$A$4:$A$3003&gt;=ДАШБОРД!$A$5)*(БАЗА_ДДС!$A$4:$A$3003&lt;=ДАШБОРД!$B$5)*(БАЗА_ДДС!$D$4:$D$3003="Расход")*БАЗА_ДДС!$G$4:$G$3003),0)*100,0)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IFERROR(B42/IFERROR(SUMPRODUCT((БАЗА_ДДС!$A$4:$A$3003&gt;=ДАШБОРД!$A$5)*(БАЗА_ДДС!$A$4:$A$3003&lt;=ДАШБОРД!$B$5)*(БАЗА_ДДС!$D$4:$D$3003="Расход")*БАЗА_ДДС!$G$4:$G$3003),0)*100,0)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132">
        <f>IFERROR(SUMPRODUCT((ЗАПИСЬ_НА_ВЫПЛАТУ!$C$4:$C$503=НАСТРОЙКИ!$B$99)*(ЗАПИСЬ_НА_ВЫПЛАТУ!$E$4:$E$503="Запланировано")*ЗАПИСЬ_НА_ВЫПЛАТУ!$D$4:$D$503),0)</f>
        <v/>
      </c>
      <c r="C25" s="133">
        <f>IFERROR(SUMPRODUCT((ЗАПИСЬ_НА_ВЫПЛАТУ!$C$4:$C$503=НАСТРОЙКИ!$B$99)*(ЗАПИСЬ_НА_ВЫПЛАТУ!$E$4:$E$503="Выплачено")*ЗАПИСЬ_НА_ВЫПЛАТУ!$D$4:$D$503),0)</f>
        <v/>
      </c>
      <c r="D25" s="13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13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133">
        <f>IFERROR(SUMPRODUCT((ЗАПИСЬ_НА_ВЫПЛАТУ!$C$4:$C$503=НАСТРОЙКИ!$B$100)*(ЗАПИСЬ_НА_ВЫПЛАТУ!$E$4:$E$503="Выплачено")*ЗАПИСЬ_НА_ВЫПЛАТУ!$D$4:$D$503),0)</f>
        <v/>
      </c>
      <c r="D26" s="13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13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133">
        <f>IFERROR(SUMPRODUCT((ЗАПИСЬ_НА_ВЫПЛАТУ!$C$4:$C$503=НАСТРОЙКИ!$B$101)*(ЗАПИСЬ_НА_ВЫПЛАТУ!$E$4:$E$503="Выплачено")*ЗАПИСЬ_НА_ВЫПЛАТУ!$D$4:$D$503),0)</f>
        <v/>
      </c>
      <c r="D27" s="13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13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133">
        <f>IFERROR(SUMPRODUCT((ЗАПИСЬ_НА_ВЫПЛАТУ!$C$4:$C$503=НАСТРОЙКИ!$B$102)*(ЗАПИСЬ_НА_ВЫПЛАТУ!$E$4:$E$503="Выплачено")*ЗАПИСЬ_НА_ВЫПЛАТУ!$D$4:$D$503),0)</f>
        <v/>
      </c>
      <c r="D28" s="13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13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133">
        <f>IFERROR(SUMPRODUCT((ЗАПИСЬ_НА_ВЫПЛАТУ!$C$4:$C$503=НАСТРОЙКИ!$B$103)*(ЗАПИСЬ_НА_ВЫПЛАТУ!$E$4:$E$503="Выплачено")*ЗАПИСЬ_НА_ВЫПЛАТУ!$D$4:$D$503),0)</f>
        <v/>
      </c>
      <c r="D29" s="13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138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140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140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140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158" t="n"/>
      <c r="C82" s="158" t="n"/>
      <c r="D82" s="158" t="n"/>
      <c r="E82" s="158" t="n"/>
      <c r="F82" s="158" t="n"/>
      <c r="G82" s="158" t="n"/>
      <c r="H82" s="159">
        <f>IFERROR(SUM(B82:G82),0)</f>
        <v/>
      </c>
    </row>
    <row r="83" ht="22" customHeight="1">
      <c r="A83" s="3" t="inlineStr">
        <is>
          <t>Февраль</t>
        </is>
      </c>
      <c r="B83" s="158" t="n"/>
      <c r="C83" s="158" t="n"/>
      <c r="D83" s="158" t="n"/>
      <c r="E83" s="158" t="n"/>
      <c r="F83" s="158" t="n"/>
      <c r="G83" s="158" t="n"/>
      <c r="H83" s="159">
        <f>IFERROR(SUM(B83:G83),0)</f>
        <v/>
      </c>
    </row>
    <row r="84" ht="22" customHeight="1">
      <c r="A84" s="3" t="inlineStr">
        <is>
          <t>Март</t>
        </is>
      </c>
      <c r="B84" s="158" t="n"/>
      <c r="C84" s="158" t="n"/>
      <c r="D84" s="158" t="n"/>
      <c r="E84" s="158" t="n"/>
      <c r="F84" s="158" t="n"/>
      <c r="G84" s="158" t="n"/>
      <c r="H84" s="159">
        <f>IFERROR(SUM(B84:G84),0)</f>
        <v/>
      </c>
    </row>
    <row r="85" ht="22" customHeight="1">
      <c r="A85" s="3" t="inlineStr">
        <is>
          <t>Апрель</t>
        </is>
      </c>
      <c r="B85" s="158" t="n"/>
      <c r="C85" s="158" t="n"/>
      <c r="D85" s="158" t="n"/>
      <c r="E85" s="158" t="n"/>
      <c r="F85" s="158" t="n"/>
      <c r="G85" s="158" t="n"/>
      <c r="H85" s="159">
        <f>IFERROR(SUM(B85:G85),0)</f>
        <v/>
      </c>
    </row>
    <row r="86" ht="22" customHeight="1">
      <c r="A86" s="3" t="inlineStr">
        <is>
          <t>Май</t>
        </is>
      </c>
      <c r="B86" s="158" t="n"/>
      <c r="C86" s="158" t="n"/>
      <c r="D86" s="158" t="n"/>
      <c r="E86" s="158" t="n"/>
      <c r="F86" s="158" t="n"/>
      <c r="G86" s="158" t="n"/>
      <c r="H86" s="159">
        <f>IFERROR(SUM(B86:G86),0)</f>
        <v/>
      </c>
    </row>
    <row r="87" ht="22" customHeight="1">
      <c r="A87" s="3" t="inlineStr">
        <is>
          <t>Июнь</t>
        </is>
      </c>
      <c r="B87" s="158" t="n"/>
      <c r="C87" s="158" t="n"/>
      <c r="D87" s="158" t="n"/>
      <c r="E87" s="158" t="n"/>
      <c r="F87" s="158" t="n"/>
      <c r="G87" s="158" t="n"/>
      <c r="H87" s="159">
        <f>IFERROR(SUM(B87:G87),0)</f>
        <v/>
      </c>
    </row>
    <row r="88" ht="22" customHeight="1">
      <c r="A88" s="3" t="inlineStr">
        <is>
          <t>Июль</t>
        </is>
      </c>
      <c r="B88" s="158" t="n"/>
      <c r="C88" s="158" t="n"/>
      <c r="D88" s="158" t="n"/>
      <c r="E88" s="158" t="n"/>
      <c r="F88" s="158" t="n"/>
      <c r="G88" s="158" t="n"/>
      <c r="H88" s="159">
        <f>IFERROR(SUM(B88:G88),0)</f>
        <v/>
      </c>
    </row>
    <row r="89" ht="22" customHeight="1">
      <c r="A89" s="3" t="inlineStr">
        <is>
          <t>Август</t>
        </is>
      </c>
      <c r="B89" s="158" t="n"/>
      <c r="C89" s="158" t="n"/>
      <c r="D89" s="158" t="n"/>
      <c r="E89" s="158" t="n"/>
      <c r="F89" s="158" t="n"/>
      <c r="G89" s="158" t="n"/>
      <c r="H89" s="159">
        <f>IFERROR(SUM(B89:G89),0)</f>
        <v/>
      </c>
    </row>
    <row r="90" ht="22" customHeight="1">
      <c r="A90" s="3" t="inlineStr">
        <is>
          <t>Сентябрь</t>
        </is>
      </c>
      <c r="B90" s="158" t="n"/>
      <c r="C90" s="158" t="n"/>
      <c r="D90" s="158" t="n"/>
      <c r="E90" s="158" t="n"/>
      <c r="F90" s="158" t="n"/>
      <c r="G90" s="158" t="n"/>
      <c r="H90" s="159">
        <f>IFERROR(SUM(B90:G90),0)</f>
        <v/>
      </c>
    </row>
    <row r="91" ht="22" customHeight="1">
      <c r="A91" s="3" t="inlineStr">
        <is>
          <t>Октябрь</t>
        </is>
      </c>
      <c r="B91" s="158" t="n"/>
      <c r="C91" s="158" t="n"/>
      <c r="D91" s="158" t="n"/>
      <c r="E91" s="158" t="n"/>
      <c r="F91" s="158" t="n"/>
      <c r="G91" s="158" t="n"/>
      <c r="H91" s="159">
        <f>IFERROR(SUM(B91:G91),0)</f>
        <v/>
      </c>
    </row>
    <row r="92" ht="22" customHeight="1">
      <c r="A92" s="3" t="inlineStr">
        <is>
          <t>Ноябрь</t>
        </is>
      </c>
      <c r="B92" s="158" t="n"/>
      <c r="C92" s="158" t="n"/>
      <c r="D92" s="158" t="n"/>
      <c r="E92" s="158" t="n"/>
      <c r="F92" s="158" t="n"/>
      <c r="G92" s="158" t="n"/>
      <c r="H92" s="159">
        <f>IFERROR(SUM(B92:G92),0)</f>
        <v/>
      </c>
    </row>
    <row r="93" ht="22" customHeight="1">
      <c r="A93" s="3" t="inlineStr">
        <is>
          <t>Декабрь</t>
        </is>
      </c>
      <c r="B93" s="158" t="n"/>
      <c r="C93" s="158" t="n"/>
      <c r="D93" s="158" t="n"/>
      <c r="E93" s="158" t="n"/>
      <c r="F93" s="158" t="n"/>
      <c r="G93" s="158" t="n"/>
      <c r="H93" s="159">
        <f>IFERROR(SUM(B93:G93),0)</f>
        <v/>
      </c>
    </row>
    <row r="94" ht="24" customHeight="1">
      <c r="A94" s="160" t="inlineStr">
        <is>
          <t>ИТОГО (год)</t>
        </is>
      </c>
      <c r="B94" s="159">
        <f>IFERROR(SUM(B82:B93),0)</f>
        <v/>
      </c>
      <c r="C94" s="159">
        <f>IFERROR(SUM(C82:C93),0)</f>
        <v/>
      </c>
      <c r="D94" s="159">
        <f>IFERROR(SUM(D82:D93),0)</f>
        <v/>
      </c>
      <c r="E94" s="159">
        <f>IFERROR(SUM(E82:E93),0)</f>
        <v/>
      </c>
      <c r="F94" s="159">
        <f>IFERROR(SUM(F82:F93),0)</f>
        <v/>
      </c>
      <c r="G94" s="159">
        <f>IFERROR(SUM(G82:G93),0)</f>
        <v/>
      </c>
      <c r="H94" s="159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2026-05-24T11:53:00Z</dcterms:created>
  <dcterms:modified xsi:type="dcterms:W3CDTF">2026-05-24T11:53:07Z</dcterms:modified>
</cp:coreProperties>
</file>