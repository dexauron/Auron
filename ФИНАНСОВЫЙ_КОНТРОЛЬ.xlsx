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'Дашборд'!$B$45:$B$46</f>
            </numRef>
          </cat>
          <val>
            <numRef>
              <f>'Дашборд'!$E$45:$E$46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108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146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146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ФИНАНСОВЫЙ КОНТРОЛЬ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Перевод</t>
        </is>
      </c>
      <c r="G24" s="52" t="n">
        <v>152800</v>
      </c>
      <c r="H24" s="52" t="n"/>
      <c r="I24" s="51" t="inlineStr">
        <is>
          <t>Магнит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Перевод</t>
        </is>
      </c>
      <c r="G48" s="52" t="n">
        <v>128200</v>
      </c>
      <c r="H48" s="52" t="n"/>
      <c r="I48" s="51" t="inlineStr">
        <is>
          <t>Лента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Перевод</t>
        </is>
      </c>
      <c r="G141" s="57" t="n">
        <v>97000</v>
      </c>
      <c r="H141" s="57" t="n"/>
      <c r="I141" s="56" t="inlineStr">
        <is>
          <t>Лента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Перевод</t>
        </is>
      </c>
      <c r="G230" s="52" t="n">
        <v>153800</v>
      </c>
      <c r="H230" s="52" t="n"/>
      <c r="I230" s="51" t="inlineStr">
        <is>
          <t>Юнилевер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Перевод</t>
        </is>
      </c>
      <c r="G253" s="57" t="n">
        <v>148400</v>
      </c>
      <c r="H253" s="57" t="n"/>
      <c r="I253" s="56" t="inlineStr">
        <is>
          <t>Магнит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Перевод</t>
        </is>
      </c>
      <c r="G276" s="52" t="n">
        <v>93700</v>
      </c>
      <c r="H276" s="52" t="n"/>
      <c r="I276" s="51" t="inlineStr">
        <is>
          <t>ТД Метро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Перевод</t>
        </is>
      </c>
      <c r="G312" s="52" t="n">
        <v>120200</v>
      </c>
      <c r="H312" s="52" t="n"/>
      <c r="I312" s="51" t="inlineStr">
        <is>
          <t>Х5 Ритейл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Перевод</t>
        </is>
      </c>
      <c r="G352" s="52" t="n">
        <v>65700</v>
      </c>
      <c r="H352" s="52" t="n"/>
      <c r="I352" s="51" t="inlineStr">
        <is>
          <t>Юнилевер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Перевод</t>
        </is>
      </c>
      <c r="G458" s="52" t="n">
        <v>144300</v>
      </c>
      <c r="H458" s="52" t="n"/>
      <c r="I458" s="51" t="inlineStr">
        <is>
          <t>Лента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Перевод</t>
        </is>
      </c>
      <c r="G574" s="52" t="n">
        <v>132900</v>
      </c>
      <c r="H574" s="52" t="n"/>
      <c r="I574" s="51" t="inlineStr">
        <is>
          <t>Юнилевер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Перевод</t>
        </is>
      </c>
      <c r="G575" s="57" t="n">
        <v>132000</v>
      </c>
      <c r="H575" s="57" t="n"/>
      <c r="I575" s="56" t="inlineStr">
        <is>
          <t>Лента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Перевод</t>
        </is>
      </c>
      <c r="G672" s="52" t="n">
        <v>108700</v>
      </c>
      <c r="H672" s="52" t="n"/>
      <c r="I672" s="51" t="inlineStr">
        <is>
          <t>Юнилевер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Перевод</t>
        </is>
      </c>
      <c r="G712" s="52" t="n">
        <v>130300</v>
      </c>
      <c r="H712" s="52" t="n"/>
      <c r="I712" s="51" t="inlineStr">
        <is>
          <t>Магнит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Перевод</t>
        </is>
      </c>
      <c r="G832" s="52" t="n">
        <v>111900</v>
      </c>
      <c r="H832" s="52" t="n"/>
      <c r="I832" s="51" t="inlineStr">
        <is>
          <t>Вкусвилл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Перевод</t>
        </is>
      </c>
      <c r="G903" s="57" t="n">
        <v>118300</v>
      </c>
      <c r="H903" s="57" t="n"/>
      <c r="I903" s="56" t="inlineStr">
        <is>
          <t>Магнит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Перевод</t>
        </is>
      </c>
      <c r="G964" s="52" t="n">
        <v>58700</v>
      </c>
      <c r="H964" s="52" t="n"/>
      <c r="I964" s="51" t="inlineStr">
        <is>
          <t>Вкусвилл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Перевод</t>
        </is>
      </c>
      <c r="G1005" s="57" t="n">
        <v>123700</v>
      </c>
      <c r="H1005" s="57" t="n"/>
      <c r="I1005" s="56" t="inlineStr">
        <is>
          <t>Лента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Перевод</t>
        </is>
      </c>
      <c r="G1091" s="57" t="n">
        <v>91000</v>
      </c>
      <c r="H1091" s="57" t="n"/>
      <c r="I1091" s="56" t="inlineStr">
        <is>
          <t>Магнит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Перевод</t>
        </is>
      </c>
      <c r="G1100" s="52" t="n">
        <v>54500</v>
      </c>
      <c r="H1100" s="52" t="n"/>
      <c r="I1100" s="51" t="inlineStr">
        <is>
          <t>Х5 Ритейл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Перевод</t>
        </is>
      </c>
      <c r="G1199" s="57" t="n">
        <v>78900</v>
      </c>
      <c r="H1199" s="57" t="n"/>
      <c r="I1199" s="56" t="inlineStr">
        <is>
          <t>Вкусвилл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Перевод</t>
        </is>
      </c>
      <c r="G1261" s="57" t="n">
        <v>87400</v>
      </c>
      <c r="H1261" s="57" t="n"/>
      <c r="I1261" s="56" t="inlineStr">
        <is>
          <t>Вкусвилл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Перевод</t>
        </is>
      </c>
      <c r="G1459" s="57" t="n">
        <v>119400</v>
      </c>
      <c r="H1459" s="57" t="n"/>
      <c r="I1459" s="56" t="inlineStr">
        <is>
          <t>Вкусвилл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Перевод</t>
        </is>
      </c>
      <c r="G1513" s="57" t="n">
        <v>132400</v>
      </c>
      <c r="H1513" s="57" t="n"/>
      <c r="I1513" s="56" t="inlineStr">
        <is>
          <t>ТД Метро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Перевод</t>
        </is>
      </c>
      <c r="G1749" s="57" t="n">
        <v>87500</v>
      </c>
      <c r="H1749" s="57" t="n"/>
      <c r="I1749" s="56" t="inlineStr">
        <is>
          <t>Лента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Перевод</t>
        </is>
      </c>
      <c r="G1785" s="57" t="n">
        <v>92300</v>
      </c>
      <c r="H1785" s="57" t="n"/>
      <c r="I1785" s="56" t="inlineStr">
        <is>
          <t>Юнилевер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Перевод</t>
        </is>
      </c>
      <c r="G1801" s="57" t="n">
        <v>116500</v>
      </c>
      <c r="H1801" s="57" t="n"/>
      <c r="I1801" s="56" t="inlineStr">
        <is>
          <t>Лента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Перевод</t>
        </is>
      </c>
      <c r="G1811" s="57" t="n">
        <v>82900</v>
      </c>
      <c r="H1811" s="57" t="n"/>
      <c r="I1811" s="56" t="inlineStr">
        <is>
          <t>Юнилевер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Перевод</t>
        </is>
      </c>
      <c r="G1852" s="52" t="n">
        <v>110000</v>
      </c>
      <c r="H1852" s="52" t="n"/>
      <c r="I1852" s="51" t="inlineStr">
        <is>
          <t>Лента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Перевод</t>
        </is>
      </c>
      <c r="G1992" s="52" t="n">
        <v>141300</v>
      </c>
      <c r="H1992" s="52" t="n"/>
      <c r="I1992" s="51" t="inlineStr">
        <is>
          <t>Х5 Ритейл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Перевод</t>
        </is>
      </c>
      <c r="G2110" s="52" t="n">
        <v>82600</v>
      </c>
      <c r="H2110" s="52" t="n"/>
      <c r="I2110" s="51" t="inlineStr">
        <is>
          <t>Лента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Перевод</t>
        </is>
      </c>
      <c r="G2262" s="52" t="n">
        <v>102100</v>
      </c>
      <c r="H2262" s="52" t="n"/>
      <c r="I2262" s="51" t="inlineStr">
        <is>
          <t>Вкусвилл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Перевод</t>
        </is>
      </c>
      <c r="G2303" s="57" t="n">
        <v>70400</v>
      </c>
      <c r="H2303" s="57" t="n"/>
      <c r="I2303" s="56" t="inlineStr">
        <is>
          <t>Вкусвилл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Перевод</t>
        </is>
      </c>
      <c r="G2461" s="57" t="n">
        <v>148100</v>
      </c>
      <c r="H2461" s="57" t="n"/>
      <c r="I2461" s="56" t="inlineStr">
        <is>
          <t>Х5 Ритейл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Перевод</t>
        </is>
      </c>
      <c r="G2521" s="57" t="n">
        <v>135900</v>
      </c>
      <c r="H2521" s="57" t="n"/>
      <c r="I2521" s="56" t="inlineStr">
        <is>
          <t>Х5 Ритейл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Перевод</t>
        </is>
      </c>
      <c r="G2610" s="52" t="n">
        <v>149200</v>
      </c>
      <c r="H2610" s="52" t="n"/>
      <c r="I2610" s="51" t="inlineStr">
        <is>
          <t>Вкусвилл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Перевод</t>
        </is>
      </c>
      <c r="G2728" s="52" t="n">
        <v>160400</v>
      </c>
      <c r="H2728" s="52" t="n"/>
      <c r="I2728" s="51" t="inlineStr">
        <is>
          <t>Юнилевер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Перевод</t>
        </is>
      </c>
      <c r="G2772" s="52" t="n">
        <v>98800</v>
      </c>
      <c r="H2772" s="52" t="n"/>
      <c r="I2772" s="51" t="inlineStr">
        <is>
          <t>Магнит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Перевод</t>
        </is>
      </c>
      <c r="G2773" s="57" t="n">
        <v>173200</v>
      </c>
      <c r="H2773" s="57" t="n"/>
      <c r="I2773" s="56" t="inlineStr">
        <is>
          <t>Лента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34</v>
      </c>
      <c r="B38" s="53" t="n">
        <v>45973</v>
      </c>
      <c r="C38" s="56" t="inlineStr">
        <is>
          <t>Вкусвилл</t>
        </is>
      </c>
      <c r="D38" s="57" t="n">
        <v>48000</v>
      </c>
      <c r="E38" s="68" t="inlineStr">
        <is>
          <t>Запланировано</t>
        </is>
      </c>
      <c r="F38" s="54" t="inlineStr">
        <is>
          <t>НК-2025-0034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33</v>
      </c>
      <c r="B39" s="48" t="n">
        <v>45976</v>
      </c>
      <c r="C39" s="51" t="inlineStr">
        <is>
          <t>Юнилевер</t>
        </is>
      </c>
      <c r="D39" s="52" t="n">
        <v>65700</v>
      </c>
      <c r="E39" s="67" t="inlineStr">
        <is>
          <t>Запланировано</t>
        </is>
      </c>
      <c r="F39" s="49" t="inlineStr">
        <is>
          <t>НК-2025-0033</t>
        </is>
      </c>
      <c r="G39" s="49" t="inlineStr">
        <is>
          <t>Наличные</t>
        </is>
      </c>
      <c r="H39" s="48" t="n"/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68" t="inlineStr">
        <is>
          <t>Запланировано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/>
      <c r="I40" s="56" t="inlineStr"/>
    </row>
    <row r="41" ht="18" customHeight="1">
      <c r="A41" s="49" t="n">
        <v>35</v>
      </c>
      <c r="B41" s="48" t="n">
        <v>46001</v>
      </c>
      <c r="C41" s="51" t="inlineStr">
        <is>
          <t>Юнилевер</t>
        </is>
      </c>
      <c r="D41" s="52" t="n">
        <v>69000</v>
      </c>
      <c r="E41" s="67" t="inlineStr">
        <is>
          <t>Запланировано</t>
        </is>
      </c>
      <c r="F41" s="49" t="inlineStr">
        <is>
          <t>НК-2025-0035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37</v>
      </c>
      <c r="B42" s="53" t="n">
        <v>46005</v>
      </c>
      <c r="C42" s="56" t="inlineStr">
        <is>
          <t>Вкусвилл</t>
        </is>
      </c>
      <c r="D42" s="57" t="n">
        <v>30100</v>
      </c>
      <c r="E42" s="68" t="inlineStr">
        <is>
          <t>Запланировано</t>
        </is>
      </c>
      <c r="F42" s="54" t="inlineStr">
        <is>
          <t>НК-2025-0037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36</v>
      </c>
      <c r="B43" s="48" t="n">
        <v>46006</v>
      </c>
      <c r="C43" s="51" t="inlineStr">
        <is>
          <t>Х5 Ритейл</t>
        </is>
      </c>
      <c r="D43" s="52" t="n">
        <v>62200</v>
      </c>
      <c r="E43" s="67" t="inlineStr">
        <is>
          <t>Запланировано</t>
        </is>
      </c>
      <c r="F43" s="49" t="inlineStr">
        <is>
          <t>НК-2025-0036</t>
        </is>
      </c>
      <c r="G43" s="49" t="inlineStr">
        <is>
          <t>Наличные</t>
        </is>
      </c>
      <c r="H43" s="48" t="n"/>
      <c r="I43" s="51" t="inlineStr"/>
    </row>
    <row r="44" ht="18" customHeight="1">
      <c r="A44" s="54" t="n">
        <v>38</v>
      </c>
      <c r="B44" s="53" t="n">
        <v>46007</v>
      </c>
      <c r="C44" s="56" t="inlineStr">
        <is>
          <t>Лента</t>
        </is>
      </c>
      <c r="D44" s="57" t="n">
        <v>62100</v>
      </c>
      <c r="E44" s="68" t="inlineStr">
        <is>
          <t>Запланировано</t>
        </is>
      </c>
      <c r="F44" s="54" t="inlineStr">
        <is>
          <t>НК-2025-0038</t>
        </is>
      </c>
      <c r="G44" s="54" t="inlineStr">
        <is>
          <t>Наличные</t>
        </is>
      </c>
      <c r="H44" s="53" t="n"/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оплаты],DATE($D$3,MONTH($A$4),A7))),"")</f>
        <v/>
      </c>
      <c r="B9" s="76">
        <f>IFERROR(IF(B7="","",SUMIFS(tblВыплаты[Сумма],tblВыплаты[Статус],"Запланировано",tblВыплаты[Дата плановой оплаты],DATE($D$3,MONTH($A$4),B7))),"")</f>
        <v/>
      </c>
      <c r="C9" s="76">
        <f>IFERROR(IF(C7="","",SUMIFS(tblВыплаты[Сумма],tblВыплаты[Статус],"Запланировано",tblВыплаты[Дата плановой оплаты],DATE($D$3,MONTH($A$4),C7))),"")</f>
        <v/>
      </c>
      <c r="D9" s="76">
        <f>IFERROR(IF(D7="","",SUMIFS(tblВыплаты[Сумма],tblВыплаты[Статус],"Запланировано",tblВыплаты[Дата плановой оплаты],DATE($D$3,MONTH($A$4),D7))),"")</f>
        <v/>
      </c>
      <c r="E9" s="76">
        <f>IFERROR(IF(E7="","",SUMIFS(tblВыплаты[Сумма],tblВыплаты[Статус],"Запланировано",tblВыплаты[Дата плановой оплаты],DATE($D$3,MONTH($A$4),E7))),"")</f>
        <v/>
      </c>
      <c r="F9" s="76">
        <f>IFERROR(IF(F7="","",SUMIFS(tblВыплаты[Сумма],tblВыплаты[Статус],"Запланировано",tblВыплаты[Дата плановой оплаты],DATE($D$3,MONTH($A$4),F7))),"")</f>
        <v/>
      </c>
      <c r="G9" s="76">
        <f>IFERROR(IF(G7="","",SUMIFS(tblВыплаты[Сумма],tblВыплаты[Статус],"Запланировано",tblВыплаты[Дата плановой оплаты],DATE($D$3,MONTH($A$4),G7))),"")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IFERROR(IF(A7="","",A8+A9),"")</f>
        <v/>
      </c>
      <c r="B11" s="80">
        <f>IFERROR(IF(B7="","",B8+B9),"")</f>
        <v/>
      </c>
      <c r="C11" s="80">
        <f>IFERROR(IF(C7="","",C8+C9),"")</f>
        <v/>
      </c>
      <c r="D11" s="80">
        <f>IFERROR(IF(D7="","",D8+D9),"")</f>
        <v/>
      </c>
      <c r="E11" s="80">
        <f>IFERROR(IF(E7="","",E8+E9),"")</f>
        <v/>
      </c>
      <c r="F11" s="80">
        <f>IFERROR(IF(F7="","",F8+F9),"")</f>
        <v/>
      </c>
      <c r="G11" s="80">
        <f>IFERROR(IF(G7="","",G8+G9),"")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оплаты],DATE($D$3,MONTH($A$4),A12))),"")</f>
        <v/>
      </c>
      <c r="B14" s="76">
        <f>IFERROR(IF(B12="","",SUMIFS(tblВыплаты[Сумма],tblВыплаты[Статус],"Запланировано",tblВыплаты[Дата плановой оплаты],DATE($D$3,MONTH($A$4),B12))),"")</f>
        <v/>
      </c>
      <c r="C14" s="76">
        <f>IFERROR(IF(C12="","",SUMIFS(tblВыплаты[Сумма],tblВыплаты[Статус],"Запланировано",tblВыплаты[Дата плановой оплаты],DATE($D$3,MONTH($A$4),C12))),"")</f>
        <v/>
      </c>
      <c r="D14" s="76">
        <f>IFERROR(IF(D12="","",SUMIFS(tblВыплаты[Сумма],tblВыплаты[Статус],"Запланировано",tblВыплаты[Дата плановой оплаты],DATE($D$3,MONTH($A$4),D12))),"")</f>
        <v/>
      </c>
      <c r="E14" s="76">
        <f>IFERROR(IF(E12="","",SUMIFS(tblВыплаты[Сумма],tblВыплаты[Статус],"Запланировано",tblВыплаты[Дата плановой оплаты],DATE($D$3,MONTH($A$4),E12))),"")</f>
        <v/>
      </c>
      <c r="F14" s="76">
        <f>IFERROR(IF(F12="","",SUMIFS(tblВыплаты[Сумма],tblВыплаты[Статус],"Запланировано",tblВыплаты[Дата плановой оплаты],DATE($D$3,MONTH($A$4),F12))),"")</f>
        <v/>
      </c>
      <c r="G14" s="76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IFERROR(IF(A12="","",A13+A14),"")</f>
        <v/>
      </c>
      <c r="B16" s="80">
        <f>IFERROR(IF(B12="","",B13+B14),"")</f>
        <v/>
      </c>
      <c r="C16" s="80">
        <f>IFERROR(IF(C12="","",C13+C14),"")</f>
        <v/>
      </c>
      <c r="D16" s="80">
        <f>IFERROR(IF(D12="","",D13+D14),"")</f>
        <v/>
      </c>
      <c r="E16" s="80">
        <f>IFERROR(IF(E12="","",E13+E14),"")</f>
        <v/>
      </c>
      <c r="F16" s="80">
        <f>IFERROR(IF(F12="","",F13+F14),"")</f>
        <v/>
      </c>
      <c r="G16" s="80">
        <f>IFERROR(IF(G12="","",G13+G14),"")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оплаты],DATE($D$3,MONTH($A$4),A17))),"")</f>
        <v/>
      </c>
      <c r="B19" s="76">
        <f>IFERROR(IF(B17="","",SUMIFS(tblВыплаты[Сумма],tblВыплаты[Статус],"Запланировано",tblВыплаты[Дата плановой оплаты],DATE($D$3,MONTH($A$4),B17))),"")</f>
        <v/>
      </c>
      <c r="C19" s="76">
        <f>IFERROR(IF(C17="","",SUMIFS(tblВыплаты[Сумма],tblВыплаты[Статус],"Запланировано",tblВыплаты[Дата плановой оплаты],DATE($D$3,MONTH($A$4),C17))),"")</f>
        <v/>
      </c>
      <c r="D19" s="76">
        <f>IFERROR(IF(D17="","",SUMIFS(tblВыплаты[Сумма],tblВыплаты[Статус],"Запланировано",tblВыплаты[Дата плановой оплаты],DATE($D$3,MONTH($A$4),D17))),"")</f>
        <v/>
      </c>
      <c r="E19" s="76">
        <f>IFERROR(IF(E17="","",SUMIFS(tblВыплаты[Сумма],tblВыплаты[Статус],"Запланировано",tblВыплаты[Дата плановой оплаты],DATE($D$3,MONTH($A$4),E17))),"")</f>
        <v/>
      </c>
      <c r="F19" s="76">
        <f>IFERROR(IF(F17="","",SUMIFS(tblВыплаты[Сумма],tblВыплаты[Статус],"Запланировано",tblВыплаты[Дата плановой оплаты],DATE($D$3,MONTH($A$4),F17))),"")</f>
        <v/>
      </c>
      <c r="G19" s="76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IFERROR(IF(A17="","",A18+A19),"")</f>
        <v/>
      </c>
      <c r="B21" s="80">
        <f>IFERROR(IF(B17="","",B18+B19),"")</f>
        <v/>
      </c>
      <c r="C21" s="80">
        <f>IFERROR(IF(C17="","",C18+C19),"")</f>
        <v/>
      </c>
      <c r="D21" s="80">
        <f>IFERROR(IF(D17="","",D18+D19),"")</f>
        <v/>
      </c>
      <c r="E21" s="80">
        <f>IFERROR(IF(E17="","",E18+E19),"")</f>
        <v/>
      </c>
      <c r="F21" s="80">
        <f>IFERROR(IF(F17="","",F18+F19),"")</f>
        <v/>
      </c>
      <c r="G21" s="80">
        <f>IFERROR(IF(G17="","",G18+G19),"")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оплаты],DATE($D$3,MONTH($A$4),A22))),"")</f>
        <v/>
      </c>
      <c r="B24" s="76">
        <f>IFERROR(IF(B22="","",SUMIFS(tblВыплаты[Сумма],tblВыплаты[Статус],"Запланировано",tblВыплаты[Дата плановой оплаты],DATE($D$3,MONTH($A$4),B22))),"")</f>
        <v/>
      </c>
      <c r="C24" s="76">
        <f>IFERROR(IF(C22="","",SUMIFS(tblВыплаты[Сумма],tblВыплаты[Статус],"Запланировано",tblВыплаты[Дата плановой оплаты],DATE($D$3,MONTH($A$4),C22))),"")</f>
        <v/>
      </c>
      <c r="D24" s="76">
        <f>IFERROR(IF(D22="","",SUMIFS(tblВыплаты[Сумма],tblВыплаты[Статус],"Запланировано",tblВыплаты[Дата плановой оплаты],DATE($D$3,MONTH($A$4),D22))),"")</f>
        <v/>
      </c>
      <c r="E24" s="76">
        <f>IFERROR(IF(E22="","",SUMIFS(tblВыплаты[Сумма],tblВыплаты[Статус],"Запланировано",tblВыплаты[Дата плановой оплаты],DATE($D$3,MONTH($A$4),E22))),"")</f>
        <v/>
      </c>
      <c r="F24" s="76">
        <f>IFERROR(IF(F22="","",SUMIFS(tblВыплаты[Сумма],tblВыплаты[Статус],"Запланировано",tblВыплаты[Дата плановой оплаты],DATE($D$3,MONTH($A$4),F22))),"")</f>
        <v/>
      </c>
      <c r="G24" s="76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IFERROR(IF(A22="","",A23+A24),"")</f>
        <v/>
      </c>
      <c r="B26" s="80">
        <f>IFERROR(IF(B22="","",B23+B24),"")</f>
        <v/>
      </c>
      <c r="C26" s="80">
        <f>IFERROR(IF(C22="","",C23+C24),"")</f>
        <v/>
      </c>
      <c r="D26" s="80">
        <f>IFERROR(IF(D22="","",D23+D24),"")</f>
        <v/>
      </c>
      <c r="E26" s="80">
        <f>IFERROR(IF(E22="","",E23+E24),"")</f>
        <v/>
      </c>
      <c r="F26" s="80">
        <f>IFERROR(IF(F22="","",F23+F24),"")</f>
        <v/>
      </c>
      <c r="G26" s="80">
        <f>IFERROR(IF(G22="","",G23+G24),"")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оплаты],DATE($D$3,MONTH($A$4),A27))),"")</f>
        <v/>
      </c>
      <c r="B29" s="76">
        <f>IFERROR(IF(B27="","",SUMIFS(tblВыплаты[Сумма],tblВыплаты[Статус],"Запланировано",tblВыплаты[Дата плановой оплаты],DATE($D$3,MONTH($A$4),B27))),"")</f>
        <v/>
      </c>
      <c r="C29" s="76">
        <f>IFERROR(IF(C27="","",SUMIFS(tblВыплаты[Сумма],tblВыплаты[Статус],"Запланировано",tblВыплаты[Дата плановой оплаты],DATE($D$3,MONTH($A$4),C27))),"")</f>
        <v/>
      </c>
      <c r="D29" s="76">
        <f>IFERROR(IF(D27="","",SUMIFS(tblВыплаты[Сумма],tblВыплаты[Статус],"Запланировано",tblВыплаты[Дата плановой оплаты],DATE($D$3,MONTH($A$4),D27))),"")</f>
        <v/>
      </c>
      <c r="E29" s="76">
        <f>IFERROR(IF(E27="","",SUMIFS(tblВыплаты[Сумма],tblВыплаты[Статус],"Запланировано",tblВыплаты[Дата плановой оплаты],DATE($D$3,MONTH($A$4),E27))),"")</f>
        <v/>
      </c>
      <c r="F29" s="76">
        <f>IFERROR(IF(F27="","",SUMIFS(tblВыплаты[Сумма],tblВыплаты[Статус],"Запланировано",tblВыплаты[Дата плановой оплаты],DATE($D$3,MONTH($A$4),F27))),"")</f>
        <v/>
      </c>
      <c r="G29" s="76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IFERROR(IF(A27="","",A28+A29),"")</f>
        <v/>
      </c>
      <c r="B31" s="80">
        <f>IFERROR(IF(B27="","",B28+B29),"")</f>
        <v/>
      </c>
      <c r="C31" s="80">
        <f>IFERROR(IF(C27="","",C28+C29),"")</f>
        <v/>
      </c>
      <c r="D31" s="80">
        <f>IFERROR(IF(D27="","",D28+D29),"")</f>
        <v/>
      </c>
      <c r="E31" s="80">
        <f>IFERROR(IF(E27="","",E28+E29),"")</f>
        <v/>
      </c>
      <c r="F31" s="80">
        <f>IFERROR(IF(F27="","",F28+F29),"")</f>
        <v/>
      </c>
      <c r="G31" s="80">
        <f>IFERROR(IF(G27="","",G28+G29),"")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оплаты],DATE($D$3,MONTH($A$4),A32))),"")</f>
        <v/>
      </c>
      <c r="B34" s="76">
        <f>IFERROR(IF(B32="","",SUMIFS(tblВыплаты[Сумма],tblВыплаты[Статус],"Запланировано",tblВыплаты[Дата плановой оплаты],DATE($D$3,MONTH($A$4),B32))),"")</f>
        <v/>
      </c>
      <c r="C34" s="76">
        <f>IFERROR(IF(C32="","",SUMIFS(tblВыплаты[Сумма],tblВыплаты[Статус],"Запланировано",tblВыплаты[Дата плановой оплаты],DATE($D$3,MONTH($A$4),C32))),"")</f>
        <v/>
      </c>
      <c r="D34" s="76">
        <f>IFERROR(IF(D32="","",SUMIFS(tblВыплаты[Сумма],tblВыплаты[Статус],"Запланировано",tblВыплаты[Дата плановой оплаты],DATE($D$3,MONTH($A$4),D32))),"")</f>
        <v/>
      </c>
      <c r="E34" s="76">
        <f>IFERROR(IF(E32="","",SUMIFS(tblВыплаты[Сумма],tblВыплаты[Статус],"Запланировано",tblВыплаты[Дата плановой оплаты],DATE($D$3,MONTH($A$4),E32))),"")</f>
        <v/>
      </c>
      <c r="F34" s="76">
        <f>IFERROR(IF(F32="","",SUMIFS(tblВыплаты[Сумма],tblВыплаты[Статус],"Запланировано",tblВыплаты[Дата плановой оплаты],DATE($D$3,MONTH($A$4),F32))),"")</f>
        <v/>
      </c>
      <c r="G34" s="76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IFERROR(IF(A32="","",A33+A34),"")</f>
        <v/>
      </c>
      <c r="B36" s="80">
        <f>IFERROR(IF(B32="","",B33+B34),"")</f>
        <v/>
      </c>
      <c r="C36" s="80">
        <f>IFERROR(IF(C32="","",C33+C34),"")</f>
        <v/>
      </c>
      <c r="D36" s="80">
        <f>IFERROR(IF(D32="","",D33+D34),"")</f>
        <v/>
      </c>
      <c r="E36" s="80">
        <f>IFERROR(IF(E32="","",E33+E34),"")</f>
        <v/>
      </c>
      <c r="F36" s="80">
        <f>IFERROR(IF(F32="","",F33+F34),"")</f>
        <v/>
      </c>
      <c r="G36" s="80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  <c r="N3" s="82" t="inlineStr">
        <is>
          <t>Месяц</t>
        </is>
      </c>
      <c r="O3" s="82" t="inlineStr">
        <is>
          <t>Выручка</t>
        </is>
      </c>
      <c r="P3" s="82" t="inlineStr">
        <is>
          <t>Расходы</t>
        </is>
      </c>
      <c r="Q3" s="82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N4" s="83" t="inlineStr">
        <is>
          <t>Январь</t>
        </is>
      </c>
      <c r="O4" s="84">
        <f>SUMIFS(tblБаза[Сумма],tblБаза[Тип],"Приход",tblБаза[Дата],"&gt;="&amp;DATE($B$3,1,1),tblБаза[Дата],"&lt;="&amp;EOMONTH(DATE($B$3,1,1),0))</f>
        <v/>
      </c>
      <c r="P4" s="84">
        <f>SUMIFS(tblБаза[Сумма],tblБаза[Тип],"Расход",tblБаза[Дата],"&gt;="&amp;DATE($B$3,1,1),tblБаза[Дата],"&lt;="&amp;EOMONTH(DATE($B$3,1,1),0))</f>
        <v/>
      </c>
      <c r="Q4" s="84">
        <f>O4-P4</f>
        <v/>
      </c>
    </row>
    <row r="5" ht="8" customHeight="1">
      <c r="N5" s="83" t="inlineStr">
        <is>
          <t>Февраль</t>
        </is>
      </c>
      <c r="O5" s="84">
        <f>SUMIFS(tblБаза[Сумма],tblБаза[Тип],"Приход",tblБаза[Дата],"&gt;="&amp;DATE($B$3,2,1),tblБаза[Дата],"&lt;="&amp;EOMONTH(DATE($B$3,2,1),0))</f>
        <v/>
      </c>
      <c r="P5" s="84">
        <f>SUMIFS(tblБаза[Сумма],tblБаза[Тип],"Расход",tblБаза[Дата],"&gt;="&amp;DATE($B$3,2,1),tblБаза[Дата],"&lt;="&amp;EOMONTH(DATE($B$3,2,1),0))</f>
        <v/>
      </c>
      <c r="Q5" s="84">
        <f>O5-P5</f>
        <v/>
      </c>
    </row>
    <row r="6" ht="22" customHeight="1">
      <c r="A6" s="85" t="inlineStr">
        <is>
          <t xml:space="preserve">  ВЫРУЧКА</t>
        </is>
      </c>
      <c r="N6" s="83" t="inlineStr">
        <is>
          <t>Март</t>
        </is>
      </c>
      <c r="O6" s="84">
        <f>SUMIFS(tblБаза[Сумма],tblБаза[Тип],"Приход",tblБаза[Дата],"&gt;="&amp;DATE($B$3,3,1),tblБаза[Дата],"&lt;="&amp;EOMONTH(DATE($B$3,3,1),0))</f>
        <v/>
      </c>
      <c r="P6" s="84">
        <f>SUMIFS(tblБаза[Сумма],tblБаза[Тип],"Расход",tblБаза[Дата],"&gt;="&amp;DATE($B$3,3,1),tblБаза[Дата],"&lt;="&amp;EOMONTH(DATE($B$3,3,1),0))</f>
        <v/>
      </c>
      <c r="Q6" s="84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3" t="inlineStr">
        <is>
          <t>Апрель</t>
        </is>
      </c>
      <c r="O7" s="84">
        <f>SUMIFS(tblБаза[Сумма],tblБаза[Тип],"Приход",tblБаза[Дата],"&gt;="&amp;DATE($B$3,4,1),tblБаза[Дата],"&lt;="&amp;EOMONTH(DATE($B$3,4,1),0))</f>
        <v/>
      </c>
      <c r="P7" s="84">
        <f>SUMIFS(tblБаза[Сумма],tblБаза[Тип],"Расход",tblБаза[Дата],"&gt;="&amp;DATE($B$3,4,1),tblБаза[Дата],"&lt;="&amp;EOMONTH(DATE($B$3,4,1),0))</f>
        <v/>
      </c>
      <c r="Q7" s="84">
        <f>O7-P7</f>
        <v/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  <c r="N8" s="83" t="inlineStr">
        <is>
          <t>Май</t>
        </is>
      </c>
      <c r="O8" s="84">
        <f>SUMIFS(tblБаза[Сумма],tblБаза[Тип],"Приход",tblБаза[Дата],"&gt;="&amp;DATE($B$3,5,1),tblБаза[Дата],"&lt;="&amp;EOMONTH(DATE($B$3,5,1),0))</f>
        <v/>
      </c>
      <c r="P8" s="84">
        <f>SUMIFS(tblБаза[Сумма],tblБаза[Тип],"Расход",tblБаза[Дата],"&gt;="&amp;DATE($B$3,5,1),tblБаза[Дата],"&lt;="&amp;EOMONTH(DATE($B$3,5,1),0))</f>
        <v/>
      </c>
      <c r="Q8" s="84">
        <f>O8-P8</f>
        <v/>
      </c>
    </row>
    <row r="9" ht="22" customHeight="1">
      <c r="A9" s="43" t="inlineStr">
        <is>
          <t xml:space="preserve">  РАСХОДЫ</t>
        </is>
      </c>
      <c r="N9" s="83" t="inlineStr">
        <is>
          <t>Июнь</t>
        </is>
      </c>
      <c r="O9" s="84">
        <f>SUMIFS(tblБаза[Сумма],tblБаза[Тип],"Приход",tblБаза[Дата],"&gt;="&amp;DATE($B$3,6,1),tblБаза[Дата],"&lt;="&amp;EOMONTH(DATE($B$3,6,1),0))</f>
        <v/>
      </c>
      <c r="P9" s="84">
        <f>SUMIFS(tblБаза[Сумма],tblБаза[Тип],"Расход",tblБаза[Дата],"&gt;="&amp;DATE($B$3,6,1),tblБаза[Дата],"&lt;="&amp;EOMONTH(DATE($B$3,6,1),0))</f>
        <v/>
      </c>
      <c r="Q9" s="84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3" t="inlineStr">
        <is>
          <t>Июль</t>
        </is>
      </c>
      <c r="O10" s="84">
        <f>SUMIFS(tblБаза[Сумма],tblБаза[Тип],"Приход",tblБаза[Дата],"&gt;="&amp;DATE($B$3,7,1),tblБаза[Дата],"&lt;="&amp;EOMONTH(DATE($B$3,7,1),0))</f>
        <v/>
      </c>
      <c r="P10" s="84">
        <f>SUMIFS(tblБаза[Сумма],tblБаза[Тип],"Расход",tblБаза[Дата],"&gt;="&amp;DATE($B$3,7,1),tblБаза[Дата],"&lt;="&amp;EOMONTH(DATE($B$3,7,1),0))</f>
        <v/>
      </c>
      <c r="Q10" s="84">
        <f>O10-P10</f>
        <v/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  <c r="N11" s="83" t="inlineStr">
        <is>
          <t>Август</t>
        </is>
      </c>
      <c r="O11" s="84">
        <f>SUMIFS(tblБаза[Сумма],tblБаза[Тип],"Приход",tblБаза[Дата],"&gt;="&amp;DATE($B$3,8,1),tblБаза[Дата],"&lt;="&amp;EOMONTH(DATE($B$3,8,1),0))</f>
        <v/>
      </c>
      <c r="P11" s="84">
        <f>SUMIFS(tblБаза[Сумма],tblБаза[Тип],"Расход",tblБаза[Дата],"&gt;="&amp;DATE($B$3,8,1),tblБаза[Дата],"&lt;="&amp;EOMONTH(DATE($B$3,8,1),0))</f>
        <v/>
      </c>
      <c r="Q11" s="84">
        <f>O11-P11</f>
        <v/>
      </c>
    </row>
    <row r="12" ht="22" customHeight="1">
      <c r="A12" s="88" t="inlineStr">
        <is>
          <t xml:space="preserve">  ПРИБЫЛЬ И ДОЛГИ</t>
        </is>
      </c>
      <c r="N12" s="83" t="inlineStr">
        <is>
          <t>Сентябрь</t>
        </is>
      </c>
      <c r="O12" s="84">
        <f>SUMIFS(tblБаза[Сумма],tblБаза[Тип],"Приход",tblБаза[Дата],"&gt;="&amp;DATE($B$3,9,1),tblБаза[Дата],"&lt;="&amp;EOMONTH(DATE($B$3,9,1),0))</f>
        <v/>
      </c>
      <c r="P12" s="84">
        <f>SUMIFS(tblБаза[Сумма],tblБаза[Тип],"Расход",tblБаза[Дата],"&gt;="&amp;DATE($B$3,9,1),tblБаза[Дата],"&lt;="&amp;EOMONTH(DATE($B$3,9,1),0))</f>
        <v/>
      </c>
      <c r="Q12" s="84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3" t="inlineStr">
        <is>
          <t>Октябрь</t>
        </is>
      </c>
      <c r="O13" s="84">
        <f>SUMIFS(tblБаза[Сумма],tblБаза[Тип],"Приход",tblБаза[Дата],"&gt;="&amp;DATE($B$3,10,1),tblБаза[Дата],"&lt;="&amp;EOMONTH(DATE($B$3,10,1),0))</f>
        <v/>
      </c>
      <c r="P13" s="84">
        <f>SUMIFS(tblБаза[Сумма],tblБаза[Тип],"Расход",tblБаза[Дата],"&gt;="&amp;DATE($B$3,10,1),tblБаза[Дата],"&lt;="&amp;EOMONTH(DATE($B$3,10,1),0))</f>
        <v/>
      </c>
      <c r="Q13" s="84">
        <f>O13-P13</f>
        <v/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  <c r="N14" s="83" t="inlineStr">
        <is>
          <t>Ноябрь</t>
        </is>
      </c>
      <c r="O14" s="84">
        <f>SUMIFS(tblБаза[Сумма],tblБаза[Тип],"Приход",tblБаза[Дата],"&gt;="&amp;DATE($B$3,11,1),tblБаза[Дата],"&lt;="&amp;EOMONTH(DATE($B$3,11,1),0))</f>
        <v/>
      </c>
      <c r="P14" s="84">
        <f>SUMIFS(tblБаза[Сумма],tblБаза[Тип],"Расход",tblБаза[Дата],"&gt;="&amp;DATE($B$3,11,1),tblБаза[Дата],"&lt;="&amp;EOMONTH(DATE($B$3,11,1),0))</f>
        <v/>
      </c>
      <c r="Q14" s="84">
        <f>O14-P14</f>
        <v/>
      </c>
    </row>
    <row r="15" ht="22" customHeight="1">
      <c r="A15" s="91" t="inlineStr">
        <is>
          <t xml:space="preserve">  ОПЕРАЦИИ И КАССА</t>
        </is>
      </c>
      <c r="N15" s="83" t="inlineStr">
        <is>
          <t>Декабрь</t>
        </is>
      </c>
      <c r="O15" s="84">
        <f>SUMIFS(tblБаза[Сумма],tblБаза[Тип],"Приход",tblБаза[Дата],"&gt;="&amp;DATE($B$3,12,1),tblБаза[Дата],"&lt;="&amp;EOMONTH(DATE($B$3,12,1),0))</f>
        <v/>
      </c>
      <c r="P15" s="84">
        <f>SUMIFS(tblБаза[Сумма],tblБаза[Тип],"Расход",tblБаза[Дата],"&gt;="&amp;DATE($B$3,12,1),tblБаза[Дата],"&lt;="&amp;EOMONTH(DATE($B$3,12,1),0))</f>
        <v/>
      </c>
      <c r="Q15" s="84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  <c r="N17" s="82" t="inlineStr">
        <is>
          <t>Способ</t>
        </is>
      </c>
      <c r="O17" s="82" t="inlineStr">
        <is>
          <t>Сумма</t>
        </is>
      </c>
    </row>
    <row r="18" ht="10" customHeight="1">
      <c r="N18" s="83" t="inlineStr">
        <is>
          <t>Наличные</t>
        </is>
      </c>
      <c r="O18" s="84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3" t="inlineStr">
        <is>
          <t>Карта</t>
        </is>
      </c>
      <c r="O19" s="84">
        <f>G8</f>
        <v/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  <c r="N20" s="83" t="inlineStr">
        <is>
          <t>Перевод</t>
        </is>
      </c>
      <c r="O20" s="84">
        <f>J8</f>
        <v/>
      </c>
    </row>
    <row r="21" ht="20" customHeight="1">
      <c r="A21" s="51" t="inlineStr"/>
      <c r="B21" s="94" t="inlineStr">
        <is>
          <t>ЗП</t>
        </is>
      </c>
      <c r="C21" s="34" t="n"/>
      <c r="D21" s="34" t="n"/>
      <c r="E21" s="95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6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8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4" t="inlineStr">
        <is>
          <t>Налоги</t>
        </is>
      </c>
      <c r="C23" s="34" t="n"/>
      <c r="D23" s="34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6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8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4" t="inlineStr">
        <is>
          <t>Закуп товара</t>
        </is>
      </c>
      <c r="C25" s="34" t="n"/>
      <c r="D25" s="34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6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8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4" t="inlineStr">
        <is>
          <t>Коммуналка</t>
        </is>
      </c>
      <c r="C27" s="34" t="n"/>
      <c r="D27" s="34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6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8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4" t="inlineStr">
        <is>
          <t>Другое</t>
        </is>
      </c>
      <c r="C29" s="34" t="n"/>
      <c r="D29" s="34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6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4" t="inlineStr">
        <is>
          <t>Понедельник</t>
        </is>
      </c>
      <c r="C34" s="34" t="n"/>
      <c r="D34" s="34" t="n"/>
      <c r="E34" s="95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6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7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8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4" t="inlineStr">
        <is>
          <t>Среда</t>
        </is>
      </c>
      <c r="C36" s="34" t="n"/>
      <c r="D36" s="34" t="n"/>
      <c r="E36" s="95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6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7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8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4" t="inlineStr">
        <is>
          <t>Пятница</t>
        </is>
      </c>
      <c r="C38" s="34" t="n"/>
      <c r="D38" s="34" t="n"/>
      <c r="E38" s="95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6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7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8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4" t="inlineStr">
        <is>
          <t>Воскресенье</t>
        </is>
      </c>
      <c r="C40" s="34" t="n"/>
      <c r="D40" s="34" t="n"/>
      <c r="E40" s="95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6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4" t="inlineStr">
        <is>
          <t>Утро</t>
        </is>
      </c>
      <c r="C45" s="34" t="n"/>
      <c r="D45" s="34" t="n"/>
      <c r="E45" s="95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6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7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8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5" t="inlineStr">
        <is>
          <t xml:space="preserve">  ВЫРУЧКА</t>
        </is>
      </c>
    </row>
    <row r="55" ht="18" customHeight="1">
      <c r="A55" s="99" t="inlineStr">
        <is>
          <t>Общая выручка</t>
        </is>
      </c>
      <c r="B55" s="100" t="n"/>
      <c r="C55" s="100" t="n"/>
      <c r="D55" s="99" t="inlineStr">
        <is>
          <t>Среднее в день</t>
        </is>
      </c>
      <c r="E55" s="100" t="n"/>
      <c r="F55" s="100" t="n"/>
      <c r="G55" s="99" t="inlineStr">
        <is>
          <t>Среднее за смену</t>
        </is>
      </c>
      <c r="H55" s="100" t="n"/>
      <c r="I55" s="100" t="n"/>
      <c r="J55" s="99" t="inlineStr">
        <is>
          <t>Лучший день</t>
        </is>
      </c>
      <c r="K55" s="100" t="n"/>
      <c r="L55" s="100" t="n"/>
    </row>
    <row r="56" ht="36" customHeight="1">
      <c r="A56" s="101">
        <f>SUMIFS(tblБаза[Сумма],tblБаза[Тип],"Приход",tblБаза[Дата],"&gt;="&amp;$A$4,tblБаза[Дата],"&lt;="&amp;$B$4)</f>
        <v/>
      </c>
      <c r="B56" s="34" t="n"/>
      <c r="C56" s="102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101">
        <f>IFERROR((SUMIFS(tblБаза[Сумма],tblБаза[Тип],"Приход",tblБаза[Дата],"&gt;="&amp;$A$4,tblБаза[Дата],"&lt;="&amp;$B$4))/($B$4-$A$4+1),0)</f>
        <v/>
      </c>
      <c r="E56" s="34" t="n"/>
      <c r="F56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101">
        <f>MAXIFS(tblБаза[Сумма],tblБаза[Тип],"Приход",tblБаза[Дата],"&gt;="&amp;$A$4,tblБаза[Дата],"&lt;="&amp;$B$4)</f>
        <v/>
      </c>
      <c r="K56" s="34" t="n"/>
      <c r="L56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8" t="inlineStr">
        <is>
          <t xml:space="preserve">  КОНТРОЛЬ КАССЫ</t>
        </is>
      </c>
    </row>
    <row r="59" ht="18" customHeight="1">
      <c r="A59" s="103" t="inlineStr">
        <is>
          <t>Выплаты из кассы</t>
        </is>
      </c>
      <c r="B59" s="104" t="n"/>
      <c r="C59" s="104" t="n"/>
      <c r="D59" s="103" t="inlineStr">
        <is>
          <t>Расхождений сумма</t>
        </is>
      </c>
      <c r="E59" s="104" t="n"/>
      <c r="F59" s="104" t="n"/>
      <c r="G59" s="103" t="inlineStr">
        <is>
          <t>Кол-во расхождений</t>
        </is>
      </c>
      <c r="H59" s="104" t="n"/>
      <c r="I59" s="104" t="n"/>
      <c r="J59" s="103" t="inlineStr">
        <is>
          <t>Остаток кассы</t>
        </is>
      </c>
      <c r="K59" s="104" t="n"/>
      <c r="L59" s="104" t="n"/>
    </row>
    <row r="60" ht="36" customHeight="1">
      <c r="A60" s="101">
        <f>SUMIFS(tblБаза[Сумма],tblБаза[Тип],"Расход",tblБаза[Дата],"&gt;="&amp;$A$4,tblБаза[Дата],"&lt;="&amp;$B$4)</f>
        <v/>
      </c>
      <c r="B60" s="34" t="n"/>
      <c r="C60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101">
        <f>SUMIFS(tblБаза[Расхождение],tblБаза[Тип],"Приход",tblБаза[Дата],"&gt;="&amp;$A$4,tblБаза[Дата],"&lt;="&amp;$B$4)</f>
        <v/>
      </c>
      <c r="E60" s="34" t="n"/>
      <c r="F60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6">
        <f>COUNTIFS(tblБаза[Расхождение],"&lt;&gt;0",tblБаза[Тип],"Приход",tblБаза[Дата],"&gt;="&amp;$A$4,tblБаза[Дата],"&lt;="&amp;$B$4)</f>
        <v/>
      </c>
      <c r="H60" s="34" t="n"/>
      <c r="I60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8" t="inlineStr">
        <is>
          <t>Текущий долг</t>
        </is>
      </c>
      <c r="B63" s="109" t="n"/>
      <c r="C63" s="109" t="n"/>
      <c r="D63" s="108" t="inlineStr">
        <is>
          <t>Взято в долг</t>
        </is>
      </c>
      <c r="E63" s="109" t="n"/>
      <c r="F63" s="109" t="n"/>
      <c r="G63" s="108" t="inlineStr">
        <is>
          <t>Выплачено долгов</t>
        </is>
      </c>
      <c r="H63" s="109" t="n"/>
      <c r="I63" s="109" t="n"/>
      <c r="J63" s="108" t="inlineStr">
        <is>
          <t>К оплате (=долг)</t>
        </is>
      </c>
      <c r="K63" s="109" t="n"/>
      <c r="L63" s="109" t="n"/>
    </row>
    <row r="64" ht="36" customHeight="1">
      <c r="A64" s="101">
        <f>SUMIFS(tblБаза[Сумма],tblБаза[Тип],"Долг")-SUMIFS(tblБаза[Сумма],tblБаза[Категория],"Оплата ТП")</f>
        <v/>
      </c>
      <c r="B64" s="34" t="n"/>
      <c r="C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101">
        <f>SUMIFS(tblБаза[Сумма],tblБаза[Тип],"Долг",tblБаза[Дата],"&gt;="&amp;$A$4,tblБаза[Дата],"&lt;="&amp;$B$4)</f>
        <v/>
      </c>
      <c r="E64" s="34" t="n"/>
      <c r="F64" s="105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101">
        <f>SUMIFS(tblБаза[Сумма],tblБаза[Категория],"Оплата ТП",tblБаза[Дата],"&gt;="&amp;$A$4,tblБаза[Дата],"&lt;="&amp;$B$4)</f>
        <v/>
      </c>
      <c r="H64" s="34" t="n"/>
      <c r="I64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101">
        <f>SUMIFS(tblБаза[Сумма],tblБаза[Тип],"Долг")-SUMIFS(tblБаза[Сумма],tblБаза[Категория],"Оплата ТП")</f>
        <v/>
      </c>
      <c r="K64" s="34" t="n"/>
      <c r="L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5" t="inlineStr">
        <is>
          <t xml:space="preserve">  ПРИБЫЛЬ</t>
        </is>
      </c>
    </row>
    <row r="67" ht="18" customHeight="1">
      <c r="A67" s="99" t="inlineStr">
        <is>
          <t>Закуп товара</t>
        </is>
      </c>
      <c r="B67" s="100" t="n"/>
      <c r="C67" s="100" t="n"/>
      <c r="D67" s="99" t="inlineStr">
        <is>
          <t>Все расходы</t>
        </is>
      </c>
      <c r="E67" s="100" t="n"/>
      <c r="F67" s="100" t="n"/>
      <c r="G67" s="99" t="inlineStr">
        <is>
          <t>Чистая прибыль</t>
        </is>
      </c>
      <c r="H67" s="100" t="n"/>
      <c r="I67" s="100" t="n"/>
      <c r="J67" s="99" t="inlineStr">
        <is>
          <t>Рентабельность %</t>
        </is>
      </c>
      <c r="K67" s="100" t="n"/>
      <c r="L67" s="100" t="n"/>
    </row>
    <row r="68" ht="36" customHeight="1">
      <c r="A68" s="101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101">
        <f>SUMIFS(tblБаза[Сумма],tblБаза[Тип],"Расход",tblБаза[Дата],"&gt;="&amp;$A$4,tblБаза[Дата],"&lt;="&amp;$B$4)</f>
        <v/>
      </c>
      <c r="E68" s="34" t="n"/>
      <c r="F68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1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11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91" t="inlineStr">
        <is>
          <t xml:space="preserve">  ЭФФЕКТИВНОСТЬ</t>
        </is>
      </c>
    </row>
    <row r="71" ht="18" customHeight="1">
      <c r="A71" s="112" t="inlineStr">
        <is>
          <t>Маржа %</t>
        </is>
      </c>
      <c r="B71" s="113" t="n"/>
      <c r="C71" s="113" t="n"/>
      <c r="D71" s="112" t="inlineStr">
        <is>
          <t>Эффект. закупа (x)</t>
        </is>
      </c>
      <c r="E71" s="113" t="n"/>
      <c r="F71" s="113" t="n"/>
      <c r="G71" s="112" t="inlineStr">
        <is>
          <t>Нагрузка долга %</t>
        </is>
      </c>
      <c r="H71" s="113" t="n"/>
      <c r="I71" s="113" t="n"/>
      <c r="J71" s="112" t="inlineStr">
        <is>
          <t>Ср. расход/день</t>
        </is>
      </c>
      <c r="K71" s="113" t="n"/>
      <c r="L71" s="113" t="n"/>
    </row>
    <row r="72" ht="36" customHeight="1">
      <c r="A72" s="11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11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5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10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6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101">
        <f>IFERROR(SUMIFS(tblБаза[Сумма],tblБаза[Тип],"Расход",tblБаза[Дата],"&gt;="&amp;$A$4,tblБаза[Дата],"&lt;="&amp;$B$4)/($B$4-$A$4+1),0)</f>
        <v/>
      </c>
      <c r="K72" s="34" t="n"/>
      <c r="L72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7" t="inlineStr">
        <is>
          <t>Просроч. выплаты</t>
        </is>
      </c>
      <c r="B75" s="118" t="n"/>
      <c r="C75" s="118" t="n"/>
      <c r="D75" s="117" t="inlineStr">
        <is>
          <t>Просроч. кол-во</t>
        </is>
      </c>
      <c r="E75" s="118" t="n"/>
      <c r="F75" s="118" t="n"/>
      <c r="G75" s="117" t="inlineStr">
        <is>
          <t>Выплачено %</t>
        </is>
      </c>
      <c r="H75" s="118" t="n"/>
      <c r="I75" s="118" t="n"/>
      <c r="J75" s="117" t="inlineStr">
        <is>
          <t>Закуп в долг %</t>
        </is>
      </c>
      <c r="K75" s="118" t="n"/>
      <c r="L75" s="118" t="n"/>
    </row>
    <row r="76" ht="36" customHeight="1">
      <c r="A76" s="101">
        <f>SUMIFS(tblВыплаты[Сумма],tblВыплаты[Статус],"Запланировано",tblВыплаты[Дата плановой оплаты],"&lt;"&amp;TODAY())</f>
        <v/>
      </c>
      <c r="B76" s="34" t="n"/>
      <c r="C76" s="119" t="inlineStr">
        <is>
          <t>"-"</t>
        </is>
      </c>
      <c r="D76" s="106">
        <f>COUNTIFS(tblВыплаты[Статус],"Запланировано",tblВыплаты[Дата плановой оплаты],"&lt;"&amp;TODAY())</f>
        <v/>
      </c>
      <c r="E76" s="34" t="n"/>
      <c r="F76" s="119" t="inlineStr">
        <is>
          <t>"-"</t>
        </is>
      </c>
      <c r="G76" s="110">
        <f>IFERROR(SUMIFS(tblВыплаты[Сумма],tblВыплаты[Статус],"Оплачено")/MAX(1,SUMIFS(tblВыплаты[Сумма],tblВыплаты[Сумма],"&gt;0")),0)</f>
        <v/>
      </c>
      <c r="H76" s="34" t="n"/>
      <c r="I76" s="119" t="inlineStr">
        <is>
          <t>"-"</t>
        </is>
      </c>
      <c r="J76" s="110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6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20" t="inlineStr">
        <is>
          <t>Дней с данными</t>
        </is>
      </c>
      <c r="B79" s="121" t="n"/>
      <c r="C79" s="121" t="n"/>
      <c r="D79" s="120" t="inlineStr">
        <is>
          <t>Всего операций</t>
        </is>
      </c>
      <c r="E79" s="121" t="n"/>
      <c r="F79" s="121" t="n"/>
      <c r="G79" s="120" t="inlineStr">
        <is>
          <t>Макс. выручка/день</t>
        </is>
      </c>
      <c r="H79" s="121" t="n"/>
      <c r="I79" s="121" t="n"/>
      <c r="J79" s="120" t="inlineStr">
        <is>
          <t>Мин. выручка/день</t>
        </is>
      </c>
      <c r="K79" s="121" t="n"/>
      <c r="L79" s="121" t="n"/>
    </row>
    <row r="80" ht="36" customHeight="1">
      <c r="A80" s="106">
        <f>IFERROR(SUMPRODUCT((tblБаза[Дата]&gt;=$A$4)*(tblБаза[Дата]&lt;=$B$4)*(tblБаза[Тип]="Приход"))/3,0)</f>
        <v/>
      </c>
      <c r="B80" s="34" t="n"/>
      <c r="C80" s="34" t="n"/>
      <c r="D80" s="106">
        <f>COUNTIFS(tblБаза[Дата],"&gt;="&amp;$A$4,tblБаза[Дата],"&lt;="&amp;$B$4)</f>
        <v/>
      </c>
      <c r="E80" s="34" t="n"/>
      <c r="F80" s="34" t="n"/>
      <c r="G80" s="101">
        <f>MAXIFS(tblБаза[Сумма],tblБаза[Тип],"Приход",tblБаза[Дата],"&gt;="&amp;$A$4,tblБаза[Дата],"&lt;="&amp;$B$4)</f>
        <v/>
      </c>
      <c r="H80" s="34" t="n"/>
      <c r="I80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101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22" t="inlineStr">
        <is>
          <t>Хозяин</t>
        </is>
      </c>
      <c r="B83" s="123" t="n"/>
      <c r="C83" s="123" t="n"/>
      <c r="D83" s="122" t="inlineStr">
        <is>
          <t>Списания+Возвраты</t>
        </is>
      </c>
      <c r="E83" s="123" t="n"/>
      <c r="F83" s="123" t="n"/>
      <c r="G83" s="122" t="inlineStr">
        <is>
          <t>Налоги</t>
        </is>
      </c>
      <c r="H83" s="123" t="n"/>
      <c r="I83" s="123" t="n"/>
      <c r="J83" s="122" t="inlineStr">
        <is>
          <t>Коммуналка+Интернет</t>
        </is>
      </c>
      <c r="K83" s="123" t="n"/>
      <c r="L83" s="123" t="n"/>
    </row>
    <row r="84" ht="36" customHeight="1">
      <c r="A84" s="101">
        <f>SUMIFS(tblБаза[Сумма],tblБаза[Тип],"Расход",tblБаза[Комментарий],"Хозяин",tblБаза[Дата],"&gt;="&amp;$A$4,tblБаза[Дата],"&lt;="&amp;$B$4)</f>
        <v/>
      </c>
      <c r="B84" s="34" t="n"/>
      <c r="C84" s="105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$51,tblБаза[Дата],"&lt;="&amp;$B$51))</f>
        <v/>
      </c>
      <c r="D84" s="101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101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  <row r="87" ht="8" customHeight="1"/>
    <row r="88" ht="26" customHeight="1">
      <c r="A88" s="15" t="inlineStr">
        <is>
          <t xml:space="preserve">  ДИАГРАММЫ — ВИЗУАЛЬНАЯ АНАЛИТИКА</t>
        </is>
      </c>
    </row>
    <row r="89" ht="6" customHeight="1"/>
  </sheetData>
  <mergeCells count="171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88:L88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ФИНАНСОВЫЙ КОНТРОЛЬ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4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5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6" t="inlineStr"/>
      <c r="B48" s="126" t="inlineStr">
        <is>
          <t>Месяц</t>
        </is>
      </c>
      <c r="C48" s="126" t="inlineStr">
        <is>
          <t>ЗП план</t>
        </is>
      </c>
      <c r="D48" s="126" t="inlineStr">
        <is>
          <t>Аренда план</t>
        </is>
      </c>
      <c r="E48" s="126" t="inlineStr">
        <is>
          <t>Налоги план</t>
        </is>
      </c>
      <c r="F48" s="126" t="inlineStr">
        <is>
          <t>Интернет план</t>
        </is>
      </c>
      <c r="G48" s="126" t="inlineStr">
        <is>
          <t>Коммуналка план</t>
        </is>
      </c>
      <c r="H48" s="126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5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7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5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7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5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7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5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7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5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7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5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7" t="inlineStr"/>
      <c r="B63" s="127" t="inlineStr">
        <is>
          <t>Месяц</t>
        </is>
      </c>
      <c r="C63" s="127" t="inlineStr">
        <is>
          <t>ЗП факт</t>
        </is>
      </c>
      <c r="D63" s="127" t="inlineStr">
        <is>
          <t>Аренда факт</t>
        </is>
      </c>
      <c r="E63" s="127" t="inlineStr">
        <is>
          <t>Налоги факт</t>
        </is>
      </c>
      <c r="F63" s="127" t="inlineStr">
        <is>
          <t>Интернет факт</t>
        </is>
      </c>
      <c r="G63" s="127" t="inlineStr">
        <is>
          <t>Коммуналка факт</t>
        </is>
      </c>
      <c r="H63" s="127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421-83-20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261-41-76</t>
        </is>
      </c>
      <c r="E80" s="56" t="inlineStr">
        <is>
          <t>14 дней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967-86-97</t>
        </is>
      </c>
      <c r="E81" s="51" t="inlineStr">
        <is>
          <t>По факту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911-50-67</t>
        </is>
      </c>
      <c r="E82" s="56" t="inlineStr">
        <is>
          <t>По факту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994-27-43</t>
        </is>
      </c>
      <c r="E83" s="51" t="inlineStr">
        <is>
          <t>14 дней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803-85-51</t>
        </is>
      </c>
      <c r="E84" s="56" t="inlineStr">
        <is>
          <t>Предоплата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8" t="inlineStr">
        <is>
          <t xml:space="preserve">  ЕЖЕМЕСЯЧНЫЙ ОТЧЁТ  —  ФИНАНСОВЫЙ КОНТРОЛЬ</t>
        </is>
      </c>
      <c r="B1" s="123" t="n"/>
      <c r="C1" s="123" t="n"/>
      <c r="D1" s="123" t="n"/>
      <c r="E1" s="123" t="n"/>
      <c r="F1" s="123" t="n"/>
      <c r="G1" s="123" t="n"/>
    </row>
    <row r="2" ht="22" customHeight="1">
      <c r="A2" s="129" t="inlineStr">
        <is>
          <t xml:space="preserve">  Управленческий отчёт по движению денежных средств магазина</t>
        </is>
      </c>
    </row>
    <row r="3" ht="36" customHeight="1">
      <c r="A3" s="130" t="inlineStr">
        <is>
          <t>Месяц:</t>
        </is>
      </c>
      <c r="B3" s="131" t="inlineStr">
        <is>
          <t>Январь</t>
        </is>
      </c>
      <c r="C3" s="130" t="inlineStr">
        <is>
          <t>Год:</t>
        </is>
      </c>
      <c r="D3" s="131" t="n">
        <v>2025</v>
      </c>
      <c r="E3" s="130" t="inlineStr">
        <is>
          <t>Сформирован:</t>
        </is>
      </c>
      <c r="F3" s="132">
        <f>TEXT(TODAY(),"DD MMMM YYYY")&amp;" г."</f>
        <v/>
      </c>
      <c r="G3" s="133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5" t="inlineStr">
        <is>
          <t xml:space="preserve">  1. ФИНАНСОВАЯ СВОДКА</t>
        </is>
      </c>
    </row>
    <row r="7" ht="22" customHeight="1">
      <c r="A7" s="134" t="inlineStr">
        <is>
          <t>№</t>
        </is>
      </c>
      <c r="B7" s="135" t="inlineStr">
        <is>
          <t>Показатель</t>
        </is>
      </c>
      <c r="C7" s="134" t="inlineStr">
        <is>
          <t>Текущий месяц</t>
        </is>
      </c>
      <c r="D7" s="134" t="inlineStr">
        <is>
          <t>% выручки</t>
        </is>
      </c>
      <c r="E7" s="134" t="inlineStr">
        <is>
          <t>Прошлый месяц</t>
        </is>
      </c>
      <c r="F7" s="134" t="inlineStr">
        <is>
          <t>Δ (Откл.)</t>
        </is>
      </c>
      <c r="G7" s="134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6">
        <f>SUMIFS(tblБаза[Сумма],tblБаза[Тип],"Приход",tblБаза[Дата],"&gt;="&amp;$A$4,tblБаза[Дата],"&lt;="&amp;$B$4)</f>
        <v/>
      </c>
      <c r="D8" s="49" t="inlineStr"/>
      <c r="E8" s="136">
        <f>SUMIFS(tblБаза[Сумма],tblБаза[Тип],"Приход",tblБаза[Дата],"&gt;="&amp;$C$4,tblБаза[Дата],"&lt;="&amp;$D$4)</f>
        <v/>
      </c>
      <c r="F8" s="137">
        <f>C8-E8</f>
        <v/>
      </c>
      <c r="G8" s="138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6">
        <f>SUMIFS(tblБаза[Сумма],tblБаза[Тип],"Расход",tblБаза[Дата],"&gt;="&amp;$A$4,tblБаза[Дата],"&lt;="&amp;$B$4)</f>
        <v/>
      </c>
      <c r="D9" s="139">
        <f>IFERROR(C9/$C$8,0)</f>
        <v/>
      </c>
      <c r="E9" s="136">
        <f>SUMIFS(tblБаза[Сумма],tblБаза[Тип],"Расход",tblБаза[Дата],"&gt;="&amp;$C$4,tblБаза[Дата],"&lt;="&amp;$D$4)</f>
        <v/>
      </c>
      <c r="F9" s="140">
        <f>C9-E9</f>
        <v/>
      </c>
      <c r="G9" s="141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6">
        <f>SUMIFS(tblБаза[Сумма],tblБаза[Тип],"Расход",tblБаза[Категория],"Закуп товара",tblБаза[Дата],"&gt;="&amp;$A$4,tblБаза[Дата],"&lt;="&amp;$B$4)</f>
        <v/>
      </c>
      <c r="D10" s="139">
        <f>IFERROR(C10/$C$8,0)</f>
        <v/>
      </c>
      <c r="E10" s="136">
        <f>SUMIFS(tblБаза[Сумма],tblБаза[Тип],"Расход",tblБаза[Категория],"Закуп товара",tblБаза[Дата],"&gt;="&amp;$C$4,tblБаза[Дата],"&lt;="&amp;$D$4)</f>
        <v/>
      </c>
      <c r="F10" s="140">
        <f>C10-E10</f>
        <v/>
      </c>
      <c r="G10" s="141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6">
        <f>SUMIFS(tblБаза[Сумма],tblБаза[Тип],"Расход",tblБаза[Категория],"ЗП",tblБаза[Дата],"&gt;="&amp;$A$4,tblБаза[Дата],"&lt;="&amp;$B$4)</f>
        <v/>
      </c>
      <c r="D11" s="139">
        <f>IFERROR(C11/$C$8,0)</f>
        <v/>
      </c>
      <c r="E11" s="136">
        <f>SUMIFS(tblБаза[Сумма],tblБаза[Тип],"Расход",tblБаза[Категория],"ЗП",tblБаза[Дата],"&gt;="&amp;$C$4,tblБаза[Дата],"&lt;="&amp;$D$4)</f>
        <v/>
      </c>
      <c r="F11" s="140">
        <f>C11-E11</f>
        <v/>
      </c>
      <c r="G11" s="141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6">
        <f>SUMIFS(tblБаза[Сумма],tblБаза[Тип],"Расход",tblБаза[Категория],"Аренда",tblБаза[Дата],"&gt;="&amp;$A$4,tblБаза[Дата],"&lt;="&amp;$B$4)</f>
        <v/>
      </c>
      <c r="D12" s="139">
        <f>IFERROR(C12/$C$8,0)</f>
        <v/>
      </c>
      <c r="E12" s="136">
        <f>SUMIFS(tblБаза[Сумма],tblБаза[Тип],"Расход",tblБаза[Категория],"Аренда",tblБаза[Дата],"&gt;="&amp;$C$4,tblБаза[Дата],"&lt;="&amp;$D$4)</f>
        <v/>
      </c>
      <c r="F12" s="140">
        <f>C12-E12</f>
        <v/>
      </c>
      <c r="G12" s="141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6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9">
        <f>IFERROR(C13/$C$8,0)</f>
        <v/>
      </c>
      <c r="E13" s="136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0">
        <f>C13-E13</f>
        <v/>
      </c>
      <c r="G13" s="141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6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9">
        <f>IFERROR(C14/$C$8,0)</f>
        <v/>
      </c>
      <c r="E14" s="136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7">
        <f>C14-E14</f>
        <v/>
      </c>
      <c r="G14" s="138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9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7">
        <f>C15-E15</f>
        <v/>
      </c>
      <c r="G15" s="138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9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7">
        <f>C16-E16</f>
        <v/>
      </c>
      <c r="G16" s="138">
        <f>IFERROR((C16-E16)/ABS(E16),0)</f>
        <v/>
      </c>
    </row>
    <row r="17" ht="8" customHeight="1">
      <c r="A17" s="133" t="n"/>
      <c r="B17" s="133" t="n"/>
      <c r="C17" s="133" t="n"/>
      <c r="D17" s="133" t="n"/>
      <c r="E17" s="133" t="n"/>
      <c r="F17" s="133" t="n"/>
      <c r="G17" s="133" t="n"/>
    </row>
    <row r="18" ht="24" customHeight="1">
      <c r="A18" s="88" t="inlineStr">
        <is>
          <t xml:space="preserve">  2. ВЫРУЧКА ПО СПОСОБАМ ОПЛАТЫ</t>
        </is>
      </c>
    </row>
    <row r="19" ht="22" customHeight="1">
      <c r="A19" s="134" t="inlineStr">
        <is>
          <t>№</t>
        </is>
      </c>
      <c r="B19" s="135" t="inlineStr">
        <is>
          <t>Способ оплаты</t>
        </is>
      </c>
      <c r="C19" s="134" t="inlineStr">
        <is>
          <t>Текущий месяц</t>
        </is>
      </c>
      <c r="D19" s="134" t="inlineStr">
        <is>
          <t>% выручки</t>
        </is>
      </c>
      <c r="E19" s="134" t="inlineStr">
        <is>
          <t>Прошлый месяц</t>
        </is>
      </c>
      <c r="F19" s="134" t="inlineStr">
        <is>
          <t>Δ (Откл.)</t>
        </is>
      </c>
      <c r="G19" s="134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6">
        <f>SUMIFS(tblБаза[Сумма],tblБаза[Тип],"Приход",tblБаза[Способ оплаты],"Наличные",tblБаза[Дата],"&gt;="&amp;$A$4,tblБаза[Дата],"&lt;="&amp;$B$4)</f>
        <v/>
      </c>
      <c r="D20" s="139">
        <f>IFERROR(C20/$C$8,0)</f>
        <v/>
      </c>
      <c r="E20" s="136">
        <f>SUMIFS(tblБаза[Сумма],tblБаза[Тип],"Приход",tblБаза[Способ оплаты],"Наличные",tblБаза[Дата],"&gt;="&amp;$C$4,tblБаза[Дата],"&lt;="&amp;$D$4)</f>
        <v/>
      </c>
      <c r="F20" s="137">
        <f>C20-E20</f>
        <v/>
      </c>
      <c r="G20" s="138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42">
        <f>SUMIFS(tblБаза[Сумма],tblБаза[Тип],"Приход",tblБаза[Способ оплаты],"Карта",tblБаза[Дата],"&gt;="&amp;$A$4,tblБаза[Дата],"&lt;="&amp;$B$4)</f>
        <v/>
      </c>
      <c r="D21" s="143">
        <f>IFERROR(C21/$C$8,0)</f>
        <v/>
      </c>
      <c r="E21" s="142">
        <f>SUMIFS(tblБаза[Сумма],tblБаза[Тип],"Приход",tblБаза[Способ оплаты],"Карта",tblБаза[Дата],"&gt;="&amp;$C$4,tblБаза[Дата],"&lt;="&amp;$D$4)</f>
        <v/>
      </c>
      <c r="F21" s="144">
        <f>C21-E21</f>
        <v/>
      </c>
      <c r="G21" s="145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6">
        <f>SUMIFS(tblБаза[Сумма],tblБаза[Тип],"Приход",tblБаза[Способ оплаты],"Перевод",tblБаза[Дата],"&gt;="&amp;$A$4,tblБаза[Дата],"&lt;="&amp;$B$4)</f>
        <v/>
      </c>
      <c r="D22" s="139">
        <f>IFERROR(C22/$C$8,0)</f>
        <v/>
      </c>
      <c r="E22" s="136">
        <f>SUMIFS(tblБаза[Сумма],tblБаза[Тип],"Приход",tblБаза[Способ оплаты],"Перевод",tblБаза[Дата],"&gt;="&amp;$C$4,tblБаза[Дата],"&lt;="&amp;$D$4)</f>
        <v/>
      </c>
      <c r="F22" s="137">
        <f>C22-E22</f>
        <v/>
      </c>
      <c r="G22" s="138">
        <f>IFERROR((C22-E22)/ABS(E22),0)</f>
        <v/>
      </c>
    </row>
    <row r="23" ht="22" customHeight="1">
      <c r="A23" s="146" t="inlineStr"/>
      <c r="B23" s="147" t="inlineStr">
        <is>
          <t>ИТОГО</t>
        </is>
      </c>
      <c r="C23" s="148">
        <f>SUMIFS(tblБаза[Сумма],tblБаза[Тип],"Приход",tblБаза[Дата],"&gt;="&amp;$A$4,tblБаза[Дата],"&lt;="&amp;$B$4)</f>
        <v/>
      </c>
      <c r="D23" s="149">
        <f>100.0%</f>
        <v/>
      </c>
      <c r="E23" s="148">
        <f>SUMIFS(tblБаза[Сумма],tblБаза[Тип],"Приход",tblБаза[Дата],"&gt;="&amp;$C$4,tblБаза[Дата],"&lt;="&amp;$D$4)</f>
        <v/>
      </c>
      <c r="F23" s="150">
        <f>C23-E23</f>
        <v/>
      </c>
      <c r="G23" s="151">
        <f>IFERROR((C23-E23)/ABS(E23),0)</f>
        <v/>
      </c>
    </row>
    <row r="24" ht="8" customHeight="1">
      <c r="A24" s="133" t="n"/>
      <c r="B24" s="133" t="n"/>
      <c r="C24" s="133" t="n"/>
      <c r="D24" s="133" t="n"/>
      <c r="E24" s="133" t="n"/>
      <c r="F24" s="133" t="n"/>
      <c r="G24" s="133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4" t="inlineStr">
        <is>
          <t>№</t>
        </is>
      </c>
      <c r="B26" s="135" t="inlineStr">
        <is>
          <t>Категория расходов</t>
        </is>
      </c>
      <c r="C26" s="134" t="inlineStr">
        <is>
          <t>Текущий месяц</t>
        </is>
      </c>
      <c r="D26" s="134" t="inlineStr">
        <is>
          <t>% расходов</t>
        </is>
      </c>
      <c r="E26" s="134" t="inlineStr">
        <is>
          <t>Прошлый месяц</t>
        </is>
      </c>
      <c r="F26" s="134" t="inlineStr">
        <is>
          <t>Δ (Откл.)</t>
        </is>
      </c>
      <c r="G26" s="134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6">
        <f>SUMIFS(tblБаза[Сумма],tblБаза[Тип],"Расход",tblБаза[Категория],"ЗП",tblБаза[Дата],"&gt;="&amp;$A$4,tblБаза[Дата],"&lt;="&amp;$B$4)</f>
        <v/>
      </c>
      <c r="D27" s="139">
        <f>IFERROR(C27/$H$27,0)</f>
        <v/>
      </c>
      <c r="E27" s="136">
        <f>SUMIFS(tblБаза[Сумма],tblБаза[Тип],"Расход",tblБаза[Категория],"ЗП",tblБаза[Дата],"&gt;="&amp;$C$4,tblБаза[Дата],"&lt;="&amp;$D$4)</f>
        <v/>
      </c>
      <c r="F27" s="140">
        <f>C27-E27</f>
        <v/>
      </c>
      <c r="G27" s="141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42">
        <f>SUMIFS(tblБаза[Сумма],tblБаза[Тип],"Расход",tblБаза[Категория],"Аренда",tblБаза[Дата],"&gt;="&amp;$A$4,tblБаза[Дата],"&lt;="&amp;$B$4)</f>
        <v/>
      </c>
      <c r="D28" s="143">
        <f>IFERROR(C28/$H$27,0)</f>
        <v/>
      </c>
      <c r="E28" s="142">
        <f>SUMIFS(tblБаза[Сумма],tblБаза[Тип],"Расход",tblБаза[Категория],"Аренда",tblБаза[Дата],"&gt;="&amp;$C$4,tblБаза[Дата],"&lt;="&amp;$D$4)</f>
        <v/>
      </c>
      <c r="F28" s="152">
        <f>C28-E28</f>
        <v/>
      </c>
      <c r="G28" s="153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6">
        <f>SUMIFS(tblБаза[Сумма],tblБаза[Тип],"Расход",tblБаза[Категория],"Налоги",tblБаза[Дата],"&gt;="&amp;$A$4,tblБаза[Дата],"&lt;="&amp;$B$4)</f>
        <v/>
      </c>
      <c r="D29" s="139">
        <f>IFERROR(C29/$H$27,0)</f>
        <v/>
      </c>
      <c r="E29" s="136">
        <f>SUMIFS(tblБаза[Сумма],tblБаза[Тип],"Расход",tblБаза[Категория],"Налоги",tblБаза[Дата],"&gt;="&amp;$C$4,tblБаза[Дата],"&lt;="&amp;$D$4)</f>
        <v/>
      </c>
      <c r="F29" s="140">
        <f>C29-E29</f>
        <v/>
      </c>
      <c r="G29" s="141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42">
        <f>SUMIFS(tblБаза[Сумма],tblБаза[Тип],"Расход",tblБаза[Категория],"Интернет",tblБаза[Дата],"&gt;="&amp;$A$4,tblБаза[Дата],"&lt;="&amp;$B$4)</f>
        <v/>
      </c>
      <c r="D30" s="143">
        <f>IFERROR(C30/$H$27,0)</f>
        <v/>
      </c>
      <c r="E30" s="142">
        <f>SUMIFS(tblБаза[Сумма],tblБаза[Тип],"Расход",tblБаза[Категория],"Интернет",tblБаза[Дата],"&gt;="&amp;$C$4,tblБаза[Дата],"&lt;="&amp;$D$4)</f>
        <v/>
      </c>
      <c r="F30" s="152">
        <f>C30-E30</f>
        <v/>
      </c>
      <c r="G30" s="153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6">
        <f>SUMIFS(tblБаза[Сумма],tblБаза[Тип],"Расход",tblБаза[Категория],"Закуп товара",tblБаза[Дата],"&gt;="&amp;$A$4,tblБаза[Дата],"&lt;="&amp;$B$4)</f>
        <v/>
      </c>
      <c r="D31" s="139">
        <f>IFERROR(C31/$H$27,0)</f>
        <v/>
      </c>
      <c r="E31" s="136">
        <f>SUMIFS(tblБаза[Сумма],tblБаза[Тип],"Расход",tblБаза[Категория],"Закуп товара",tblБаза[Дата],"&gt;="&amp;$C$4,tblБаза[Дата],"&lt;="&amp;$D$4)</f>
        <v/>
      </c>
      <c r="F31" s="140">
        <f>C31-E31</f>
        <v/>
      </c>
      <c r="G31" s="141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42">
        <f>SUMIFS(tblБаза[Сумма],tblБаза[Тип],"Расход",tblБаза[Категория],"Оплата ТП",tblБаза[Дата],"&gt;="&amp;$A$4,tblБаза[Дата],"&lt;="&amp;$B$4)</f>
        <v/>
      </c>
      <c r="D32" s="143">
        <f>IFERROR(C32/$H$27,0)</f>
        <v/>
      </c>
      <c r="E32" s="142">
        <f>SUMIFS(tblБаза[Сумма],tblБаза[Тип],"Расход",tblБаза[Категория],"Оплата ТП",tblБаза[Дата],"&gt;="&amp;$C$4,tblБаза[Дата],"&lt;="&amp;$D$4)</f>
        <v/>
      </c>
      <c r="F32" s="152">
        <f>C32-E32</f>
        <v/>
      </c>
      <c r="G32" s="153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6">
        <f>SUMIFS(tblБаза[Сумма],tblБаза[Тип],"Расход",tblБаза[Категория],"Коммуналка",tblБаза[Дата],"&gt;="&amp;$A$4,tblБаза[Дата],"&lt;="&amp;$B$4)</f>
        <v/>
      </c>
      <c r="D33" s="139">
        <f>IFERROR(C33/$H$27,0)</f>
        <v/>
      </c>
      <c r="E33" s="136">
        <f>SUMIFS(tblБаза[Сумма],tblБаза[Тип],"Расход",tblБаза[Категория],"Коммуналка",tblБаза[Дата],"&gt;="&amp;$C$4,tblБаза[Дата],"&lt;="&amp;$D$4)</f>
        <v/>
      </c>
      <c r="F33" s="140">
        <f>C33-E33</f>
        <v/>
      </c>
      <c r="G33" s="141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42">
        <f>SUMIFS(tblБаза[Сумма],tblБаза[Тип],"Расход",tblБаза[Категория],"Реклама",tblБаза[Дата],"&gt;="&amp;$A$4,tblБаза[Дата],"&lt;="&amp;$B$4)</f>
        <v/>
      </c>
      <c r="D34" s="143">
        <f>IFERROR(C34/$H$27,0)</f>
        <v/>
      </c>
      <c r="E34" s="142">
        <f>SUMIFS(tblБаза[Сумма],tblБаза[Тип],"Расход",tblБаза[Категория],"Реклама",tblБаза[Дата],"&gt;="&amp;$C$4,tblБаза[Дата],"&lt;="&amp;$D$4)</f>
        <v/>
      </c>
      <c r="F34" s="152">
        <f>C34-E34</f>
        <v/>
      </c>
      <c r="G34" s="153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6">
        <f>SUMIFS(tblБаза[Сумма],tblБаза[Тип],"Расход",tblБаза[Категория],"Другое",tblБаза[Дата],"&gt;="&amp;$A$4,tblБаза[Дата],"&lt;="&amp;$B$4)</f>
        <v/>
      </c>
      <c r="D35" s="139">
        <f>IFERROR(C35/$H$27,0)</f>
        <v/>
      </c>
      <c r="E35" s="136">
        <f>SUMIFS(tblБаза[Сумма],tblБаза[Тип],"Расход",tblБаза[Категория],"Другое",tblБаза[Дата],"&gt;="&amp;$C$4,tblБаза[Дата],"&lt;="&amp;$D$4)</f>
        <v/>
      </c>
      <c r="F35" s="140">
        <f>C35-E35</f>
        <v/>
      </c>
      <c r="G35" s="141">
        <f>IFERROR((C35-E35)/ABS(E35),0)</f>
        <v/>
      </c>
    </row>
    <row r="36" ht="22" customHeight="1">
      <c r="A36" s="146" t="inlineStr"/>
      <c r="B36" s="147" t="inlineStr">
        <is>
          <t>ИТОГО РАСХОДОВ</t>
        </is>
      </c>
      <c r="C36" s="148">
        <f>SUMIFS(tblБаза[Сумма],tblБаза[Тип],"Расход",tblБаза[Дата],"&gt;="&amp;$A$4,tblБаза[Дата],"&lt;="&amp;$B$4)</f>
        <v/>
      </c>
      <c r="D36" s="149">
        <f>100.0%</f>
        <v/>
      </c>
      <c r="E36" s="148">
        <f>SUMIFS(tblБаза[Сумма],tblБаза[Тип],"Расход",tblБаза[Дата],"&gt;="&amp;$C$4,tblБаза[Дата],"&lt;="&amp;$D$4)</f>
        <v/>
      </c>
      <c r="F36" s="154">
        <f>C36-E36</f>
        <v/>
      </c>
      <c r="G36" s="155">
        <f>IFERROR((C36-E36)/ABS(E36),0)</f>
        <v/>
      </c>
    </row>
    <row r="37" ht="8" customHeight="1">
      <c r="A37" s="133" t="n"/>
      <c r="B37" s="133" t="n"/>
      <c r="C37" s="133" t="n"/>
      <c r="D37" s="133" t="n"/>
      <c r="E37" s="133" t="n"/>
      <c r="F37" s="133" t="n"/>
      <c r="G37" s="133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4" t="inlineStr">
        <is>
          <t>№</t>
        </is>
      </c>
      <c r="B39" s="135" t="inlineStr">
        <is>
          <t>Показатель</t>
        </is>
      </c>
      <c r="C39" s="134" t="inlineStr">
        <is>
          <t>Текущий месяц</t>
        </is>
      </c>
      <c r="D39" s="134" t="inlineStr">
        <is>
          <t>—</t>
        </is>
      </c>
      <c r="E39" s="134" t="inlineStr">
        <is>
          <t>Прошлый месяц</t>
        </is>
      </c>
      <c r="F39" s="134" t="inlineStr">
        <is>
          <t>Δ (Откл.)</t>
        </is>
      </c>
      <c r="G39" s="134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6">
        <f>$B$4-$A$4+1</f>
        <v/>
      </c>
      <c r="D40" s="49" t="inlineStr"/>
      <c r="E40" s="156">
        <f>$D$4-$C$4+1</f>
        <v/>
      </c>
      <c r="F40" s="137">
        <f>C40-E40</f>
        <v/>
      </c>
      <c r="G40" s="138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6">
        <f>IFERROR(SUMPRODUCT((tblБаза[Дата]&gt;=$A$4)*(tblБаза[Дата]&lt;=$B$4)*(tblБаза[Тип]="Приход"))/3,0)</f>
        <v/>
      </c>
      <c r="D41" s="49" t="inlineStr"/>
      <c r="E41" s="156">
        <f>IFERROR(SUMPRODUCT((tblБаза[Дата]&gt;=$C$4)*(tblБаза[Дата]&lt;=$D$4)*(tblБаза[Тип]="Приход"))/3,0)</f>
        <v/>
      </c>
      <c r="F41" s="137">
        <f>C41-E41</f>
        <v/>
      </c>
      <c r="G41" s="138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7">
        <f>IFERROR(COUNTIFS(tblБаза[Тип],"Приход",tblБаза[Дата],"&gt;="&amp;$A$4,tblБаза[Дата],"&lt;="&amp;$B$4)/3,0)</f>
        <v/>
      </c>
      <c r="D42" s="49" t="inlineStr"/>
      <c r="E42" s="157">
        <f>IFERROR(COUNTIFS(tblБаза[Тип],"Приход",tblБаза[Дата],"&gt;="&amp;$C$4,tblБаза[Дата],"&lt;="&amp;$D$4)/3,0)</f>
        <v/>
      </c>
      <c r="F42" s="137">
        <f>C42-E42</f>
        <v/>
      </c>
      <c r="G42" s="138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6">
        <f>IFERROR(SUMIFS(tblБаза[Сумма],tblБаза[Тип],"Приход",tblБаза[Дата],"&gt;="&amp;$A$4,tblБаза[Дата],"&lt;="&amp;$B$4)/MAX(1,$B$4-$A$4+1),0)</f>
        <v/>
      </c>
      <c r="D43" s="49" t="inlineStr"/>
      <c r="E43" s="136">
        <f>IFERROR(SUMIFS(tblБаза[Сумма],tblБаза[Тип],"Приход",tblБаза[Дата],"&gt;="&amp;$C$4,tblБаза[Дата],"&lt;="&amp;$D$4)/MAX(1,$D$4-$C$4+1),0)</f>
        <v/>
      </c>
      <c r="F43" s="137">
        <f>C43-E43</f>
        <v/>
      </c>
      <c r="G43" s="138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6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6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7">
        <f>C44-E44</f>
        <v/>
      </c>
      <c r="G44" s="138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6">
        <f>SUMIFS(tblБаза[Расхождение],tblБаза[Тип],"Приход",tblБаза[Дата],"&gt;="&amp;$A$4,tblБаза[Дата],"&lt;="&amp;$B$4)</f>
        <v/>
      </c>
      <c r="D45" s="49" t="inlineStr"/>
      <c r="E45" s="136">
        <f>SUMIFS(tblБаза[Расхождение],tblБаза[Тип],"Приход",tblБаза[Дата],"&gt;="&amp;$C$4,tblБаза[Дата],"&lt;="&amp;$D$4)</f>
        <v/>
      </c>
      <c r="F45" s="140">
        <f>C45-E45</f>
        <v/>
      </c>
      <c r="G45" s="141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8">
        <f>COUNTIFS(tblБаза[Расхождение],"&lt;&gt;0",tblБаза[Тип],"Приход",tblБаза[Дата],"&gt;="&amp;$A$4,tblБаза[Дата],"&lt;="&amp;$B$4)</f>
        <v/>
      </c>
      <c r="D46" s="49" t="inlineStr"/>
      <c r="E46" s="158">
        <f>COUNTIFS(tblБаза[Расхождение],"&lt;&gt;0",tblБаза[Тип],"Приход",tblБаза[Дата],"&gt;="&amp;$C$4,tblБаза[Дата],"&lt;="&amp;$D$4)</f>
        <v/>
      </c>
      <c r="F46" s="140">
        <f>C46-E46</f>
        <v/>
      </c>
      <c r="G46" s="141">
        <f>IFERROR((C46-E46)/ABS(E46),0)</f>
        <v/>
      </c>
    </row>
    <row r="47" ht="8" customHeight="1">
      <c r="A47" s="133" t="n"/>
      <c r="B47" s="133" t="n"/>
      <c r="C47" s="133" t="n"/>
      <c r="D47" s="133" t="n"/>
      <c r="E47" s="133" t="n"/>
      <c r="F47" s="133" t="n"/>
      <c r="G47" s="133" t="n"/>
    </row>
    <row r="48" ht="24" customHeight="1">
      <c r="A48" s="91" t="inlineStr">
        <is>
          <t xml:space="preserve">  5. ОБЯЗАТЕЛЬСТВА И ВЫПЛАТЫ ПОСТАВЩИКАМ</t>
        </is>
      </c>
    </row>
    <row r="49" ht="22" customHeight="1">
      <c r="A49" s="134" t="inlineStr">
        <is>
          <t>№</t>
        </is>
      </c>
      <c r="B49" s="135" t="inlineStr">
        <is>
          <t>Статус / Показатель</t>
        </is>
      </c>
      <c r="C49" s="134" t="inlineStr">
        <is>
          <t>Сумма</t>
        </is>
      </c>
      <c r="D49" s="134" t="inlineStr">
        <is>
          <t>% итого</t>
        </is>
      </c>
      <c r="E49" s="134" t="inlineStr">
        <is>
          <t>—</t>
        </is>
      </c>
      <c r="F49" s="134" t="inlineStr">
        <is>
          <t>Кол-во</t>
        </is>
      </c>
      <c r="G49" s="134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9">
        <f>IFERROR(C50/$H$50,0)</f>
        <v/>
      </c>
      <c r="E50" s="49" t="inlineStr"/>
      <c r="F50" s="159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42">
        <f>SUMIFS(tblВыплаты[Сумма],tblВыплаты[Статус],"Запланировано",tblВыплаты[Дата плановой оплаты],"&lt;"&amp;TODAY())</f>
        <v/>
      </c>
      <c r="D51" s="143">
        <f>IFERROR(C51/$H$50,0)</f>
        <v/>
      </c>
      <c r="E51" s="54" t="inlineStr"/>
      <c r="F51" s="160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6">
        <f>SUMIFS(tblВыплаты[Сумма],tblВыплаты[Статус],"Оплачено")</f>
        <v/>
      </c>
      <c r="D52" s="139">
        <f>IFERROR(C52/$H$50,0)</f>
        <v/>
      </c>
      <c r="E52" s="49" t="inlineStr"/>
      <c r="F52" s="161">
        <f>COUNTIFS(tblВыплаты[Статус],"Оплачено")</f>
        <v/>
      </c>
      <c r="G52" s="49" t="inlineStr"/>
    </row>
    <row r="53" ht="22" customHeight="1">
      <c r="A53" s="146" t="inlineStr"/>
      <c r="B53" s="147" t="inlineStr">
        <is>
          <t>ВСЕГО ОБЯЗАТЕЛЬСТВ</t>
        </is>
      </c>
      <c r="C53" s="148">
        <f>SUMIFS(tblВыплаты[Сумма],tblВыплаты[Сумма],"&gt;0")</f>
        <v/>
      </c>
      <c r="D53" s="149">
        <f>100.0%</f>
        <v/>
      </c>
      <c r="E53" s="146" t="inlineStr"/>
      <c r="F53" s="146" t="inlineStr"/>
      <c r="G53" s="146" t="inlineStr"/>
    </row>
    <row r="54" ht="8" customHeight="1">
      <c r="A54" s="133" t="n"/>
      <c r="B54" s="133" t="n"/>
      <c r="C54" s="133" t="n"/>
      <c r="D54" s="133" t="n"/>
      <c r="E54" s="133" t="n"/>
      <c r="F54" s="133" t="n"/>
      <c r="G54" s="133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4" t="inlineStr">
        <is>
          <t>№</t>
        </is>
      </c>
      <c r="B56" s="135" t="inlineStr">
        <is>
          <t>Показатель</t>
        </is>
      </c>
      <c r="C56" s="134" t="inlineStr">
        <is>
          <t>Сумма</t>
        </is>
      </c>
      <c r="D56" s="134" t="inlineStr">
        <is>
          <t>—</t>
        </is>
      </c>
      <c r="E56" s="134" t="inlineStr">
        <is>
          <t>Справка: всего</t>
        </is>
      </c>
      <c r="F56" s="134" t="inlineStr">
        <is>
          <t>—</t>
        </is>
      </c>
      <c r="G56" s="134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6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42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6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62" t="inlineStr">
        <is>
          <t>4</t>
        </is>
      </c>
      <c r="B60" s="72" t="inlineStr">
        <is>
          <t>Долг на конец периода (остаток)</t>
        </is>
      </c>
      <c r="C60" s="163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2" t="inlineStr"/>
      <c r="E60" s="162" t="inlineStr"/>
      <c r="F60" s="162" t="inlineStr"/>
      <c r="G60" s="162" t="inlineStr"/>
    </row>
    <row r="61" ht="22" customHeight="1">
      <c r="A61" s="146" t="inlineStr"/>
      <c r="B61" s="147" t="inlineStr">
        <is>
          <t>Итого долг (все время)</t>
        </is>
      </c>
      <c r="C61" s="148">
        <f>SUMIFS(tblБаза[Сумма],tblБаза[Тип],"Долг")-SUMIFS(tblБаза[Сумма],tblБаза[Категория],"Оплата ТП")</f>
        <v/>
      </c>
      <c r="D61" s="149">
        <f>IFERROR(C61/C61,0)</f>
        <v/>
      </c>
      <c r="E61" s="146" t="inlineStr"/>
      <c r="F61" s="146" t="inlineStr"/>
      <c r="G61" s="146" t="inlineStr"/>
    </row>
    <row r="62" ht="14" customHeight="1">
      <c r="A62" s="133" t="n"/>
      <c r="B62" s="133" t="n"/>
      <c r="C62" s="133" t="n"/>
      <c r="D62" s="133" t="n"/>
      <c r="E62" s="133" t="n"/>
      <c r="F62" s="133" t="n"/>
      <c r="G62" s="133" t="n"/>
    </row>
    <row r="63" ht="2" customHeight="1">
      <c r="A63" s="164" t="n"/>
    </row>
    <row r="64" ht="8" customHeight="1"/>
    <row r="65" ht="28" customHeight="1">
      <c r="A65" s="165" t="inlineStr">
        <is>
          <t>Составил:</t>
        </is>
      </c>
      <c r="D65" s="166" t="inlineStr">
        <is>
          <t>________________________</t>
        </is>
      </c>
    </row>
    <row r="66" ht="28" customHeight="1">
      <c r="A66" s="165" t="inlineStr">
        <is>
          <t>Принял:</t>
        </is>
      </c>
      <c r="D66" s="166" t="inlineStr">
        <is>
          <t>________________________</t>
        </is>
      </c>
    </row>
    <row r="67" ht="6" customHeight="1"/>
    <row r="68">
      <c r="A68" s="167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5" t="inlineStr">
        <is>
          <t xml:space="preserve">  ВЫРУЧКА ПО СПОСОБУ ОПЛАТЫ</t>
        </is>
      </c>
    </row>
    <row r="6" ht="20" customHeight="1">
      <c r="A6" s="47" t="inlineStr">
        <is>
          <t>#</t>
        </is>
      </c>
      <c r="B6" s="47" t="inlineStr">
        <is>
          <t>Месяц</t>
        </is>
      </c>
      <c r="C6" s="47" t="inlineStr">
        <is>
          <t>Наличные</t>
        </is>
      </c>
      <c r="D6" s="47" t="inlineStr">
        <is>
          <t>Карта</t>
        </is>
      </c>
      <c r="E6" s="47" t="inlineStr">
        <is>
          <t>Перевод</t>
        </is>
      </c>
      <c r="F6" s="47" t="inlineStr">
        <is>
          <t>Итого</t>
        </is>
      </c>
      <c r="G6" s="47" t="inlineStr"/>
      <c r="H6" s="47" t="inlineStr"/>
      <c r="I6" s="47" t="inlineStr"/>
      <c r="J6" s="47" t="inlineStr"/>
      <c r="K6" s="47" t="inlineStr"/>
      <c r="L6" s="47" t="inlineStr"/>
    </row>
    <row r="7" ht="20" customHeight="1">
      <c r="A7" s="168" t="n">
        <v>1</v>
      </c>
      <c r="B7" s="94" t="inlineStr">
        <is>
          <t>Январь</t>
        </is>
      </c>
      <c r="C7" s="52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52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52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5">
        <f>SUM(C7:E7)</f>
        <v/>
      </c>
      <c r="G7" s="34" t="inlineStr"/>
      <c r="H7" s="34" t="inlineStr"/>
      <c r="I7" s="34" t="inlineStr"/>
      <c r="J7" s="34" t="inlineStr"/>
      <c r="K7" s="34" t="inlineStr"/>
      <c r="L7" s="34" t="inlineStr"/>
    </row>
    <row r="8" ht="20" customHeight="1">
      <c r="A8" s="169" t="n">
        <v>2</v>
      </c>
      <c r="B8" s="72" t="inlineStr">
        <is>
          <t>Февраль</t>
        </is>
      </c>
      <c r="C8" s="57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7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7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7">
        <f>SUM(C8:E8)</f>
        <v/>
      </c>
      <c r="G8" s="31" t="inlineStr"/>
      <c r="H8" s="31" t="inlineStr"/>
      <c r="I8" s="31" t="inlineStr"/>
      <c r="J8" s="31" t="inlineStr"/>
      <c r="K8" s="31" t="inlineStr"/>
      <c r="L8" s="31" t="inlineStr"/>
    </row>
    <row r="9" ht="20" customHeight="1">
      <c r="A9" s="168" t="n">
        <v>3</v>
      </c>
      <c r="B9" s="94" t="inlineStr">
        <is>
          <t>Март</t>
        </is>
      </c>
      <c r="C9" s="52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52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52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5">
        <f>SUM(C9:E9)</f>
        <v/>
      </c>
      <c r="G9" s="34" t="inlineStr"/>
      <c r="H9" s="34" t="inlineStr"/>
      <c r="I9" s="34" t="inlineStr"/>
      <c r="J9" s="34" t="inlineStr"/>
      <c r="K9" s="34" t="inlineStr"/>
      <c r="L9" s="34" t="inlineStr"/>
    </row>
    <row r="10" ht="20" customHeight="1">
      <c r="A10" s="169" t="n">
        <v>4</v>
      </c>
      <c r="B10" s="72" t="inlineStr">
        <is>
          <t>Апрель</t>
        </is>
      </c>
      <c r="C10" s="57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7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7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7">
        <f>SUM(C10:E10)</f>
        <v/>
      </c>
      <c r="G10" s="31" t="inlineStr"/>
      <c r="H10" s="31" t="inlineStr"/>
      <c r="I10" s="31" t="inlineStr"/>
      <c r="J10" s="31" t="inlineStr"/>
      <c r="K10" s="31" t="inlineStr"/>
      <c r="L10" s="31" t="inlineStr"/>
    </row>
    <row r="11" ht="20" customHeight="1">
      <c r="A11" s="168" t="n">
        <v>5</v>
      </c>
      <c r="B11" s="94" t="inlineStr">
        <is>
          <t>Май</t>
        </is>
      </c>
      <c r="C11" s="52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52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52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5">
        <f>SUM(C11:E11)</f>
        <v/>
      </c>
      <c r="G11" s="34" t="inlineStr"/>
      <c r="H11" s="34" t="inlineStr"/>
      <c r="I11" s="34" t="inlineStr"/>
      <c r="J11" s="34" t="inlineStr"/>
      <c r="K11" s="34" t="inlineStr"/>
      <c r="L11" s="34" t="inlineStr"/>
    </row>
    <row r="12" ht="20" customHeight="1">
      <c r="A12" s="169" t="n">
        <v>6</v>
      </c>
      <c r="B12" s="72" t="inlineStr">
        <is>
          <t>Июнь</t>
        </is>
      </c>
      <c r="C12" s="57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7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7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7">
        <f>SUM(C12:E12)</f>
        <v/>
      </c>
      <c r="G12" s="31" t="inlineStr"/>
      <c r="H12" s="31" t="inlineStr"/>
      <c r="I12" s="31" t="inlineStr"/>
      <c r="J12" s="31" t="inlineStr"/>
      <c r="K12" s="31" t="inlineStr"/>
      <c r="L12" s="31" t="inlineStr"/>
    </row>
    <row r="13" ht="20" customHeight="1">
      <c r="A13" s="168" t="n">
        <v>7</v>
      </c>
      <c r="B13" s="94" t="inlineStr">
        <is>
          <t>Июль</t>
        </is>
      </c>
      <c r="C13" s="52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52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52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5">
        <f>SUM(C13:E13)</f>
        <v/>
      </c>
      <c r="G13" s="34" t="inlineStr"/>
      <c r="H13" s="34" t="inlineStr"/>
      <c r="I13" s="34" t="inlineStr"/>
      <c r="J13" s="34" t="inlineStr"/>
      <c r="K13" s="34" t="inlineStr"/>
      <c r="L13" s="34" t="inlineStr"/>
    </row>
    <row r="14" ht="20" customHeight="1">
      <c r="A14" s="169" t="n">
        <v>8</v>
      </c>
      <c r="B14" s="72" t="inlineStr">
        <is>
          <t>Август</t>
        </is>
      </c>
      <c r="C14" s="57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7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7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7">
        <f>SUM(C14:E14)</f>
        <v/>
      </c>
      <c r="G14" s="31" t="inlineStr"/>
      <c r="H14" s="31" t="inlineStr"/>
      <c r="I14" s="31" t="inlineStr"/>
      <c r="J14" s="31" t="inlineStr"/>
      <c r="K14" s="31" t="inlineStr"/>
      <c r="L14" s="31" t="inlineStr"/>
    </row>
    <row r="15" ht="20" customHeight="1">
      <c r="A15" s="168" t="n">
        <v>9</v>
      </c>
      <c r="B15" s="94" t="inlineStr">
        <is>
          <t>Сентябрь</t>
        </is>
      </c>
      <c r="C15" s="52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52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52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5">
        <f>SUM(C15:E15)</f>
        <v/>
      </c>
      <c r="G15" s="34" t="inlineStr"/>
      <c r="H15" s="34" t="inlineStr"/>
      <c r="I15" s="34" t="inlineStr"/>
      <c r="J15" s="34" t="inlineStr"/>
      <c r="K15" s="34" t="inlineStr"/>
      <c r="L15" s="34" t="inlineStr"/>
    </row>
    <row r="16" ht="20" customHeight="1">
      <c r="A16" s="169" t="n">
        <v>10</v>
      </c>
      <c r="B16" s="72" t="inlineStr">
        <is>
          <t>Октябрь</t>
        </is>
      </c>
      <c r="C16" s="57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7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7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7">
        <f>SUM(C16:E16)</f>
        <v/>
      </c>
      <c r="G16" s="31" t="inlineStr"/>
      <c r="H16" s="31" t="inlineStr"/>
      <c r="I16" s="31" t="inlineStr"/>
      <c r="J16" s="31" t="inlineStr"/>
      <c r="K16" s="31" t="inlineStr"/>
      <c r="L16" s="31" t="inlineStr"/>
    </row>
    <row r="17" ht="20" customHeight="1">
      <c r="A17" s="168" t="n">
        <v>11</v>
      </c>
      <c r="B17" s="94" t="inlineStr">
        <is>
          <t>Ноябрь</t>
        </is>
      </c>
      <c r="C17" s="52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52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52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5">
        <f>SUM(C17:E17)</f>
        <v/>
      </c>
      <c r="G17" s="34" t="inlineStr"/>
      <c r="H17" s="34" t="inlineStr"/>
      <c r="I17" s="34" t="inlineStr"/>
      <c r="J17" s="34" t="inlineStr"/>
      <c r="K17" s="34" t="inlineStr"/>
      <c r="L17" s="34" t="inlineStr"/>
    </row>
    <row r="18" ht="20" customHeight="1">
      <c r="A18" s="169" t="n">
        <v>12</v>
      </c>
      <c r="B18" s="72" t="inlineStr">
        <is>
          <t>Декабрь</t>
        </is>
      </c>
      <c r="C18" s="57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7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7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7">
        <f>SUM(C18:E18)</f>
        <v/>
      </c>
      <c r="G18" s="31" t="inlineStr"/>
      <c r="H18" s="31" t="inlineStr"/>
      <c r="I18" s="31" t="inlineStr"/>
      <c r="J18" s="31" t="inlineStr"/>
      <c r="K18" s="31" t="inlineStr"/>
      <c r="L18" s="31" t="inlineStr"/>
    </row>
    <row r="19" ht="22" customHeight="1">
      <c r="A19" s="27" t="inlineStr"/>
      <c r="B19" s="25" t="inlineStr">
        <is>
          <t>ИТОГО</t>
        </is>
      </c>
      <c r="C19" s="170">
        <f>SUM(C7:C18)</f>
        <v/>
      </c>
      <c r="D19" s="170">
        <f>SUM(D7:D18)</f>
        <v/>
      </c>
      <c r="E19" s="170">
        <f>SUM(E7:E18)</f>
        <v/>
      </c>
      <c r="F19" s="170">
        <f>SUM(F7:F18)</f>
        <v/>
      </c>
      <c r="G19" s="27" t="inlineStr"/>
      <c r="H19" s="27" t="inlineStr"/>
      <c r="I19" s="27" t="inlineStr"/>
      <c r="J19" s="27" t="inlineStr"/>
      <c r="K19" s="27" t="inlineStr"/>
      <c r="L19" s="27" t="inlineStr"/>
    </row>
    <row r="20" ht="12" customHeight="1"/>
    <row r="21" ht="24" customHeight="1">
      <c r="A21" s="43" t="inlineStr">
        <is>
          <t xml:space="preserve">  РАСХОДЫ ПО КАТЕГОРИЯМ</t>
        </is>
      </c>
    </row>
    <row r="22" ht="20" customHeight="1">
      <c r="A22" s="47" t="inlineStr">
        <is>
          <t>#</t>
        </is>
      </c>
      <c r="B22" s="47" t="inlineStr">
        <is>
          <t>Месяц</t>
        </is>
      </c>
      <c r="C22" s="47" t="inlineStr">
        <is>
          <t>ЗП</t>
        </is>
      </c>
      <c r="D22" s="47" t="inlineStr">
        <is>
          <t>Аренда</t>
        </is>
      </c>
      <c r="E22" s="47" t="inlineStr">
        <is>
          <t>Налоги</t>
        </is>
      </c>
      <c r="F22" s="47" t="inlineStr">
        <is>
          <t>Интернет</t>
        </is>
      </c>
      <c r="G22" s="47" t="inlineStr">
        <is>
          <t>Закуп товара</t>
        </is>
      </c>
      <c r="H22" s="47" t="inlineStr">
        <is>
          <t>Оплата ТП</t>
        </is>
      </c>
      <c r="I22" s="47" t="inlineStr">
        <is>
          <t>Коммуналка</t>
        </is>
      </c>
      <c r="J22" s="47" t="inlineStr">
        <is>
          <t>Реклама</t>
        </is>
      </c>
      <c r="K22" s="47" t="inlineStr">
        <is>
          <t>Другое</t>
        </is>
      </c>
      <c r="L22" s="47" t="inlineStr">
        <is>
          <t>Итого</t>
        </is>
      </c>
    </row>
    <row r="23" ht="20" customHeight="1">
      <c r="A23" s="168" t="n">
        <v>1</v>
      </c>
      <c r="B23" s="94" t="inlineStr">
        <is>
          <t>Январь</t>
        </is>
      </c>
      <c r="C23" s="52">
        <f>SUMIFS(tblБаза[Сумма],tblБаза[Тип],"Расход",tblБаза[Категория],"ЗП",tblБаза[Дата],"&gt;="&amp;DATE($B$3,1,1),tblБаза[Дата],"&lt;="&amp;EOMONTH(DATE($B$3,1,1),0))</f>
        <v/>
      </c>
      <c r="D23" s="52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52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52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52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52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52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52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52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5">
        <f>SUM(C23:K23)</f>
        <v/>
      </c>
    </row>
    <row r="24" ht="20" customHeight="1">
      <c r="A24" s="169" t="n">
        <v>2</v>
      </c>
      <c r="B24" s="72" t="inlineStr">
        <is>
          <t>Февраль</t>
        </is>
      </c>
      <c r="C24" s="57">
        <f>SUMIFS(tblБаза[Сумма],tblБаза[Тип],"Расход",tblБаза[Категория],"ЗП",tblБаза[Дата],"&gt;="&amp;DATE($B$3,2,1),tblБаза[Дата],"&lt;="&amp;EOMONTH(DATE($B$3,2,1),0))</f>
        <v/>
      </c>
      <c r="D24" s="57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7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7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7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7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7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7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7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7">
        <f>SUM(C24:K24)</f>
        <v/>
      </c>
    </row>
    <row r="25" ht="20" customHeight="1">
      <c r="A25" s="168" t="n">
        <v>3</v>
      </c>
      <c r="B25" s="94" t="inlineStr">
        <is>
          <t>Март</t>
        </is>
      </c>
      <c r="C25" s="52">
        <f>SUMIFS(tblБаза[Сумма],tblБаза[Тип],"Расход",tblБаза[Категория],"ЗП",tblБаза[Дата],"&gt;="&amp;DATE($B$3,3,1),tblБаза[Дата],"&lt;="&amp;EOMONTH(DATE($B$3,3,1),0))</f>
        <v/>
      </c>
      <c r="D25" s="52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52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52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52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52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52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52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52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5">
        <f>SUM(C25:K25)</f>
        <v/>
      </c>
    </row>
    <row r="26" ht="20" customHeight="1">
      <c r="A26" s="169" t="n">
        <v>4</v>
      </c>
      <c r="B26" s="72" t="inlineStr">
        <is>
          <t>Апрель</t>
        </is>
      </c>
      <c r="C26" s="57">
        <f>SUMIFS(tblБаза[Сумма],tblБаза[Тип],"Расход",tblБаза[Категория],"ЗП",tblБаза[Дата],"&gt;="&amp;DATE($B$3,4,1),tblБаза[Дата],"&lt;="&amp;EOMONTH(DATE($B$3,4,1),0))</f>
        <v/>
      </c>
      <c r="D26" s="57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7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7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7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7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7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7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7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7">
        <f>SUM(C26:K26)</f>
        <v/>
      </c>
    </row>
    <row r="27" ht="20" customHeight="1">
      <c r="A27" s="168" t="n">
        <v>5</v>
      </c>
      <c r="B27" s="94" t="inlineStr">
        <is>
          <t>Май</t>
        </is>
      </c>
      <c r="C27" s="52">
        <f>SUMIFS(tblБаза[Сумма],tblБаза[Тип],"Расход",tblБаза[Категория],"ЗП",tblБаза[Дата],"&gt;="&amp;DATE($B$3,5,1),tblБаза[Дата],"&lt;="&amp;EOMONTH(DATE($B$3,5,1),0))</f>
        <v/>
      </c>
      <c r="D27" s="52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52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52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52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52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52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52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52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5">
        <f>SUM(C27:K27)</f>
        <v/>
      </c>
    </row>
    <row r="28" ht="20" customHeight="1">
      <c r="A28" s="169" t="n">
        <v>6</v>
      </c>
      <c r="B28" s="72" t="inlineStr">
        <is>
          <t>Июнь</t>
        </is>
      </c>
      <c r="C28" s="57">
        <f>SUMIFS(tblБаза[Сумма],tblБаза[Тип],"Расход",tblБаза[Категория],"ЗП",tblБаза[Дата],"&gt;="&amp;DATE($B$3,6,1),tblБаза[Дата],"&lt;="&amp;EOMONTH(DATE($B$3,6,1),0))</f>
        <v/>
      </c>
      <c r="D28" s="57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7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7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7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7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7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7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7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7">
        <f>SUM(C28:K28)</f>
        <v/>
      </c>
    </row>
    <row r="29" ht="20" customHeight="1">
      <c r="A29" s="168" t="n">
        <v>7</v>
      </c>
      <c r="B29" s="94" t="inlineStr">
        <is>
          <t>Июль</t>
        </is>
      </c>
      <c r="C29" s="52">
        <f>SUMIFS(tblБаза[Сумма],tblБаза[Тип],"Расход",tblБаза[Категория],"ЗП",tblБаза[Дата],"&gt;="&amp;DATE($B$3,7,1),tblБаза[Дата],"&lt;="&amp;EOMONTH(DATE($B$3,7,1),0))</f>
        <v/>
      </c>
      <c r="D29" s="52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52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52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52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52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52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52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52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5">
        <f>SUM(C29:K29)</f>
        <v/>
      </c>
    </row>
    <row r="30" ht="20" customHeight="1">
      <c r="A30" s="169" t="n">
        <v>8</v>
      </c>
      <c r="B30" s="72" t="inlineStr">
        <is>
          <t>Август</t>
        </is>
      </c>
      <c r="C30" s="57">
        <f>SUMIFS(tblБаза[Сумма],tblБаза[Тип],"Расход",tblБаза[Категория],"ЗП",tblБаза[Дата],"&gt;="&amp;DATE($B$3,8,1),tblБаза[Дата],"&lt;="&amp;EOMONTH(DATE($B$3,8,1),0))</f>
        <v/>
      </c>
      <c r="D30" s="57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7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7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7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7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7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7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7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7">
        <f>SUM(C30:K30)</f>
        <v/>
      </c>
    </row>
    <row r="31" ht="20" customHeight="1">
      <c r="A31" s="168" t="n">
        <v>9</v>
      </c>
      <c r="B31" s="94" t="inlineStr">
        <is>
          <t>Сентябрь</t>
        </is>
      </c>
      <c r="C31" s="52">
        <f>SUMIFS(tblБаза[Сумма],tblБаза[Тип],"Расход",tblБаза[Категория],"ЗП",tblБаза[Дата],"&gt;="&amp;DATE($B$3,9,1),tblБаза[Дата],"&lt;="&amp;EOMONTH(DATE($B$3,9,1),0))</f>
        <v/>
      </c>
      <c r="D31" s="52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52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52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52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52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52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52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52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5">
        <f>SUM(C31:K31)</f>
        <v/>
      </c>
    </row>
    <row r="32" ht="20" customHeight="1">
      <c r="A32" s="169" t="n">
        <v>10</v>
      </c>
      <c r="B32" s="72" t="inlineStr">
        <is>
          <t>Октябрь</t>
        </is>
      </c>
      <c r="C32" s="57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7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7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7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7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7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7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7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7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7">
        <f>SUM(C32:K32)</f>
        <v/>
      </c>
    </row>
    <row r="33" ht="20" customHeight="1">
      <c r="A33" s="168" t="n">
        <v>11</v>
      </c>
      <c r="B33" s="94" t="inlineStr">
        <is>
          <t>Ноябрь</t>
        </is>
      </c>
      <c r="C33" s="52">
        <f>SUMIFS(tblБаза[Сумма],tblБаза[Тип],"Расход",tblБаза[Категория],"ЗП",tblБаза[Дата],"&gt;="&amp;DATE($B$3,11,1),tblБаза[Дата],"&lt;="&amp;EOMONTH(DATE($B$3,11,1),0))</f>
        <v/>
      </c>
      <c r="D33" s="52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52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52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52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52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52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52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52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5">
        <f>SUM(C33:K33)</f>
        <v/>
      </c>
    </row>
    <row r="34" ht="20" customHeight="1">
      <c r="A34" s="169" t="n">
        <v>12</v>
      </c>
      <c r="B34" s="72" t="inlineStr">
        <is>
          <t>Декабрь</t>
        </is>
      </c>
      <c r="C34" s="57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7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7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7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7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7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7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7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7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7">
        <f>SUM(C34:K34)</f>
        <v/>
      </c>
    </row>
    <row r="35" ht="22" customHeight="1">
      <c r="A35" s="27" t="inlineStr"/>
      <c r="B35" s="25" t="inlineStr">
        <is>
          <t>ИТОГО</t>
        </is>
      </c>
      <c r="C35" s="170">
        <f>SUM(C23:C34)</f>
        <v/>
      </c>
      <c r="D35" s="170">
        <f>SUM(D23:D34)</f>
        <v/>
      </c>
      <c r="E35" s="170">
        <f>SUM(E23:E34)</f>
        <v/>
      </c>
      <c r="F35" s="170">
        <f>SUM(F23:F34)</f>
        <v/>
      </c>
      <c r="G35" s="170">
        <f>SUM(G23:G34)</f>
        <v/>
      </c>
      <c r="H35" s="170">
        <f>SUM(H23:H34)</f>
        <v/>
      </c>
      <c r="I35" s="170">
        <f>SUM(I23:I34)</f>
        <v/>
      </c>
      <c r="J35" s="170">
        <f>SUM(J23:J34)</f>
        <v/>
      </c>
      <c r="K35" s="170">
        <f>SUM(K23:K34)</f>
        <v/>
      </c>
      <c r="L35" s="170">
        <f>SUM(L23:L34)</f>
        <v/>
      </c>
    </row>
    <row r="36" ht="12" customHeight="1"/>
    <row r="37" ht="24" customHeight="1">
      <c r="A37" s="88" t="inlineStr">
        <is>
          <t xml:space="preserve">  P&amp;L — ПРИБЫЛИ И УБЫТКИ ПО МЕСЯЦАМ</t>
        </is>
      </c>
    </row>
    <row r="38" ht="20" customHeight="1">
      <c r="A38" s="47" t="inlineStr">
        <is>
          <t>#</t>
        </is>
      </c>
      <c r="B38" s="47" t="inlineStr">
        <is>
          <t>Месяц</t>
        </is>
      </c>
      <c r="C38" s="47" t="inlineStr">
        <is>
          <t>Выручка</t>
        </is>
      </c>
      <c r="D38" s="47" t="inlineStr">
        <is>
          <t>Расходы</t>
        </is>
      </c>
      <c r="E38" s="47" t="inlineStr">
        <is>
          <t>Прибыль</t>
        </is>
      </c>
      <c r="F38" s="47" t="inlineStr">
        <is>
          <t>Рентаб. %</t>
        </is>
      </c>
      <c r="G38" s="47" t="inlineStr"/>
      <c r="H38" s="47" t="inlineStr"/>
      <c r="I38" s="47" t="inlineStr"/>
      <c r="J38" s="47" t="inlineStr"/>
      <c r="K38" s="47" t="inlineStr"/>
      <c r="L38" s="47" t="inlineStr"/>
    </row>
    <row r="39" ht="20" customHeight="1">
      <c r="A39" s="168" t="n">
        <v>1</v>
      </c>
      <c r="B39" s="94" t="inlineStr">
        <is>
          <t>Январь</t>
        </is>
      </c>
      <c r="C39" s="52">
        <f>SUMIFS(tblБаза[Сумма],tblБаза[Тип],"Приход",tblБаза[Дата],"&gt;="&amp;DATE($B$3,1,1),tblБаза[Дата],"&lt;="&amp;EOMONTH(DATE($B$3,1,1),0))</f>
        <v/>
      </c>
      <c r="D39" s="52">
        <f>SUMIFS(tblБаза[Сумма],tblБаза[Тип],"Расход",tblБаза[Дата],"&gt;="&amp;DATE($B$3,1,1),tblБаза[Дата],"&lt;="&amp;EOMONTH(DATE($B$3,1,1),0))</f>
        <v/>
      </c>
      <c r="E39" s="95">
        <f>C39-D39</f>
        <v/>
      </c>
      <c r="F39" s="96">
        <f>IFERROR((C39-D39)/MAX(1,C39),0)</f>
        <v/>
      </c>
      <c r="G39" s="34" t="inlineStr"/>
      <c r="H39" s="34" t="inlineStr"/>
      <c r="I39" s="34" t="inlineStr"/>
      <c r="J39" s="34" t="inlineStr"/>
      <c r="K39" s="34" t="inlineStr"/>
      <c r="L39" s="34" t="inlineStr"/>
    </row>
    <row r="40" ht="20" customHeight="1">
      <c r="A40" s="169" t="n">
        <v>2</v>
      </c>
      <c r="B40" s="72" t="inlineStr">
        <is>
          <t>Февраль</t>
        </is>
      </c>
      <c r="C40" s="57">
        <f>SUMIFS(tblБаза[Сумма],tblБаза[Тип],"Приход",tblБаза[Дата],"&gt;="&amp;DATE($B$3,2,1),tblБаза[Дата],"&lt;="&amp;EOMONTH(DATE($B$3,2,1),0))</f>
        <v/>
      </c>
      <c r="D40" s="57">
        <f>SUMIFS(tblБаза[Сумма],tblБаза[Тип],"Расход",tblБаза[Дата],"&gt;="&amp;DATE($B$3,2,1),tblБаза[Дата],"&lt;="&amp;EOMONTH(DATE($B$3,2,1),0))</f>
        <v/>
      </c>
      <c r="E40" s="97">
        <f>C40-D40</f>
        <v/>
      </c>
      <c r="F40" s="98">
        <f>IFERROR((C40-D40)/MAX(1,C40),0)</f>
        <v/>
      </c>
      <c r="G40" s="31" t="inlineStr"/>
      <c r="H40" s="31" t="inlineStr"/>
      <c r="I40" s="31" t="inlineStr"/>
      <c r="J40" s="31" t="inlineStr"/>
      <c r="K40" s="31" t="inlineStr"/>
      <c r="L40" s="31" t="inlineStr"/>
    </row>
    <row r="41" ht="20" customHeight="1">
      <c r="A41" s="168" t="n">
        <v>3</v>
      </c>
      <c r="B41" s="94" t="inlineStr">
        <is>
          <t>Март</t>
        </is>
      </c>
      <c r="C41" s="52">
        <f>SUMIFS(tblБаза[Сумма],tblБаза[Тип],"Приход",tblБаза[Дата],"&gt;="&amp;DATE($B$3,3,1),tblБаза[Дата],"&lt;="&amp;EOMONTH(DATE($B$3,3,1),0))</f>
        <v/>
      </c>
      <c r="D41" s="52">
        <f>SUMIFS(tblБаза[Сумма],tblБаза[Тип],"Расход",tblБаза[Дата],"&gt;="&amp;DATE($B$3,3,1),tblБаза[Дата],"&lt;="&amp;EOMONTH(DATE($B$3,3,1),0))</f>
        <v/>
      </c>
      <c r="E41" s="95">
        <f>C41-D41</f>
        <v/>
      </c>
      <c r="F41" s="96">
        <f>IFERROR((C41-D41)/MAX(1,C41),0)</f>
        <v/>
      </c>
      <c r="G41" s="34" t="inlineStr"/>
      <c r="H41" s="34" t="inlineStr"/>
      <c r="I41" s="34" t="inlineStr"/>
      <c r="J41" s="34" t="inlineStr"/>
      <c r="K41" s="34" t="inlineStr"/>
      <c r="L41" s="34" t="inlineStr"/>
    </row>
    <row r="42" ht="20" customHeight="1">
      <c r="A42" s="169" t="n">
        <v>4</v>
      </c>
      <c r="B42" s="72" t="inlineStr">
        <is>
          <t>Апрель</t>
        </is>
      </c>
      <c r="C42" s="57">
        <f>SUMIFS(tblБаза[Сумма],tblБаза[Тип],"Приход",tblБаза[Дата],"&gt;="&amp;DATE($B$3,4,1),tblБаза[Дата],"&lt;="&amp;EOMONTH(DATE($B$3,4,1),0))</f>
        <v/>
      </c>
      <c r="D42" s="57">
        <f>SUMIFS(tblБаза[Сумма],tblБаза[Тип],"Расход",tblБаза[Дата],"&gt;="&amp;DATE($B$3,4,1),tblБаза[Дата],"&lt;="&amp;EOMONTH(DATE($B$3,4,1),0))</f>
        <v/>
      </c>
      <c r="E42" s="97">
        <f>C42-D42</f>
        <v/>
      </c>
      <c r="F42" s="98">
        <f>IFERROR((C42-D42)/MAX(1,C42),0)</f>
        <v/>
      </c>
      <c r="G42" s="31" t="inlineStr"/>
      <c r="H42" s="31" t="inlineStr"/>
      <c r="I42" s="31" t="inlineStr"/>
      <c r="J42" s="31" t="inlineStr"/>
      <c r="K42" s="31" t="inlineStr"/>
      <c r="L42" s="31" t="inlineStr"/>
    </row>
    <row r="43" ht="20" customHeight="1">
      <c r="A43" s="168" t="n">
        <v>5</v>
      </c>
      <c r="B43" s="94" t="inlineStr">
        <is>
          <t>Май</t>
        </is>
      </c>
      <c r="C43" s="52">
        <f>SUMIFS(tblБаза[Сумма],tblБаза[Тип],"Приход",tblБаза[Дата],"&gt;="&amp;DATE($B$3,5,1),tblБаза[Дата],"&lt;="&amp;EOMONTH(DATE($B$3,5,1),0))</f>
        <v/>
      </c>
      <c r="D43" s="52">
        <f>SUMIFS(tblБаза[Сумма],tblБаза[Тип],"Расход",tblБаза[Дата],"&gt;="&amp;DATE($B$3,5,1),tblБаза[Дата],"&lt;="&amp;EOMONTH(DATE($B$3,5,1),0))</f>
        <v/>
      </c>
      <c r="E43" s="95">
        <f>C43-D43</f>
        <v/>
      </c>
      <c r="F43" s="96">
        <f>IFERROR((C43-D43)/MAX(1,C43),0)</f>
        <v/>
      </c>
      <c r="G43" s="34" t="inlineStr"/>
      <c r="H43" s="34" t="inlineStr"/>
      <c r="I43" s="34" t="inlineStr"/>
      <c r="J43" s="34" t="inlineStr"/>
      <c r="K43" s="34" t="inlineStr"/>
      <c r="L43" s="34" t="inlineStr"/>
    </row>
    <row r="44" ht="20" customHeight="1">
      <c r="A44" s="169" t="n">
        <v>6</v>
      </c>
      <c r="B44" s="72" t="inlineStr">
        <is>
          <t>Июнь</t>
        </is>
      </c>
      <c r="C44" s="57">
        <f>SUMIFS(tblБаза[Сумма],tblБаза[Тип],"Приход",tblБаза[Дата],"&gt;="&amp;DATE($B$3,6,1),tblБаза[Дата],"&lt;="&amp;EOMONTH(DATE($B$3,6,1),0))</f>
        <v/>
      </c>
      <c r="D44" s="57">
        <f>SUMIFS(tblБаза[Сумма],tblБаза[Тип],"Расход",tblБаза[Дата],"&gt;="&amp;DATE($B$3,6,1),tblБаза[Дата],"&lt;="&amp;EOMONTH(DATE($B$3,6,1),0))</f>
        <v/>
      </c>
      <c r="E44" s="97">
        <f>C44-D44</f>
        <v/>
      </c>
      <c r="F44" s="98">
        <f>IFERROR((C44-D44)/MAX(1,C44),0)</f>
        <v/>
      </c>
      <c r="G44" s="31" t="inlineStr"/>
      <c r="H44" s="31" t="inlineStr"/>
      <c r="I44" s="31" t="inlineStr"/>
      <c r="J44" s="31" t="inlineStr"/>
      <c r="K44" s="31" t="inlineStr"/>
      <c r="L44" s="31" t="inlineStr"/>
    </row>
    <row r="45" ht="20" customHeight="1">
      <c r="A45" s="168" t="n">
        <v>7</v>
      </c>
      <c r="B45" s="94" t="inlineStr">
        <is>
          <t>Июль</t>
        </is>
      </c>
      <c r="C45" s="52">
        <f>SUMIFS(tblБаза[Сумма],tblБаза[Тип],"Приход",tblБаза[Дата],"&gt;="&amp;DATE($B$3,7,1),tblБаза[Дата],"&lt;="&amp;EOMONTH(DATE($B$3,7,1),0))</f>
        <v/>
      </c>
      <c r="D45" s="52">
        <f>SUMIFS(tblБаза[Сумма],tblБаза[Тип],"Расход",tblБаза[Дата],"&gt;="&amp;DATE($B$3,7,1),tblБаза[Дата],"&lt;="&amp;EOMONTH(DATE($B$3,7,1),0))</f>
        <v/>
      </c>
      <c r="E45" s="95">
        <f>C45-D45</f>
        <v/>
      </c>
      <c r="F45" s="96">
        <f>IFERROR((C45-D45)/MAX(1,C45),0)</f>
        <v/>
      </c>
      <c r="G45" s="34" t="inlineStr"/>
      <c r="H45" s="34" t="inlineStr"/>
      <c r="I45" s="34" t="inlineStr"/>
      <c r="J45" s="34" t="inlineStr"/>
      <c r="K45" s="34" t="inlineStr"/>
      <c r="L45" s="34" t="inlineStr"/>
    </row>
    <row r="46" ht="20" customHeight="1">
      <c r="A46" s="169" t="n">
        <v>8</v>
      </c>
      <c r="B46" s="72" t="inlineStr">
        <is>
          <t>Август</t>
        </is>
      </c>
      <c r="C46" s="57">
        <f>SUMIFS(tblБаза[Сумма],tblБаза[Тип],"Приход",tblБаза[Дата],"&gt;="&amp;DATE($B$3,8,1),tblБаза[Дата],"&lt;="&amp;EOMONTH(DATE($B$3,8,1),0))</f>
        <v/>
      </c>
      <c r="D46" s="57">
        <f>SUMIFS(tblБаза[Сумма],tblБаза[Тип],"Расход",tblБаза[Дата],"&gt;="&amp;DATE($B$3,8,1),tblБаза[Дата],"&lt;="&amp;EOMONTH(DATE($B$3,8,1),0))</f>
        <v/>
      </c>
      <c r="E46" s="97">
        <f>C46-D46</f>
        <v/>
      </c>
      <c r="F46" s="98">
        <f>IFERROR((C46-D46)/MAX(1,C46),0)</f>
        <v/>
      </c>
      <c r="G46" s="31" t="inlineStr"/>
      <c r="H46" s="31" t="inlineStr"/>
      <c r="I46" s="31" t="inlineStr"/>
      <c r="J46" s="31" t="inlineStr"/>
      <c r="K46" s="31" t="inlineStr"/>
      <c r="L46" s="31" t="inlineStr"/>
    </row>
    <row r="47" ht="20" customHeight="1">
      <c r="A47" s="168" t="n">
        <v>9</v>
      </c>
      <c r="B47" s="94" t="inlineStr">
        <is>
          <t>Сентябрь</t>
        </is>
      </c>
      <c r="C47" s="52">
        <f>SUMIFS(tblБаза[Сумма],tblБаза[Тип],"Приход",tblБаза[Дата],"&gt;="&amp;DATE($B$3,9,1),tblБаза[Дата],"&lt;="&amp;EOMONTH(DATE($B$3,9,1),0))</f>
        <v/>
      </c>
      <c r="D47" s="52">
        <f>SUMIFS(tblБаза[Сумма],tblБаза[Тип],"Расход",tblБаза[Дата],"&gt;="&amp;DATE($B$3,9,1),tblБаза[Дата],"&lt;="&amp;EOMONTH(DATE($B$3,9,1),0))</f>
        <v/>
      </c>
      <c r="E47" s="95">
        <f>C47-D47</f>
        <v/>
      </c>
      <c r="F47" s="96">
        <f>IFERROR((C47-D47)/MAX(1,C47),0)</f>
        <v/>
      </c>
      <c r="G47" s="34" t="inlineStr"/>
      <c r="H47" s="34" t="inlineStr"/>
      <c r="I47" s="34" t="inlineStr"/>
      <c r="J47" s="34" t="inlineStr"/>
      <c r="K47" s="34" t="inlineStr"/>
      <c r="L47" s="34" t="inlineStr"/>
    </row>
    <row r="48" ht="20" customHeight="1">
      <c r="A48" s="169" t="n">
        <v>10</v>
      </c>
      <c r="B48" s="72" t="inlineStr">
        <is>
          <t>Октябрь</t>
        </is>
      </c>
      <c r="C48" s="57">
        <f>SUMIFS(tblБаза[Сумма],tblБаза[Тип],"Приход",tblБаза[Дата],"&gt;="&amp;DATE($B$3,10,1),tblБаза[Дата],"&lt;="&amp;EOMONTH(DATE($B$3,10,1),0))</f>
        <v/>
      </c>
      <c r="D48" s="57">
        <f>SUMIFS(tblБаза[Сумма],tblБаза[Тип],"Расход",tblБаза[Дата],"&gt;="&amp;DATE($B$3,10,1),tblБаза[Дата],"&lt;="&amp;EOMONTH(DATE($B$3,10,1),0))</f>
        <v/>
      </c>
      <c r="E48" s="97">
        <f>C48-D48</f>
        <v/>
      </c>
      <c r="F48" s="98">
        <f>IFERROR((C48-D48)/MAX(1,C48),0)</f>
        <v/>
      </c>
      <c r="G48" s="31" t="inlineStr"/>
      <c r="H48" s="31" t="inlineStr"/>
      <c r="I48" s="31" t="inlineStr"/>
      <c r="J48" s="31" t="inlineStr"/>
      <c r="K48" s="31" t="inlineStr"/>
      <c r="L48" s="31" t="inlineStr"/>
    </row>
    <row r="49" ht="20" customHeight="1">
      <c r="A49" s="168" t="n">
        <v>11</v>
      </c>
      <c r="B49" s="94" t="inlineStr">
        <is>
          <t>Ноябрь</t>
        </is>
      </c>
      <c r="C49" s="52">
        <f>SUMIFS(tblБаза[Сумма],tblБаза[Тип],"Приход",tblБаза[Дата],"&gt;="&amp;DATE($B$3,11,1),tblБаза[Дата],"&lt;="&amp;EOMONTH(DATE($B$3,11,1),0))</f>
        <v/>
      </c>
      <c r="D49" s="52">
        <f>SUMIFS(tblБаза[Сумма],tblБаза[Тип],"Расход",tblБаза[Дата],"&gt;="&amp;DATE($B$3,11,1),tblБаза[Дата],"&lt;="&amp;EOMONTH(DATE($B$3,11,1),0))</f>
        <v/>
      </c>
      <c r="E49" s="95">
        <f>C49-D49</f>
        <v/>
      </c>
      <c r="F49" s="96">
        <f>IFERROR((C49-D49)/MAX(1,C49),0)</f>
        <v/>
      </c>
      <c r="G49" s="34" t="inlineStr"/>
      <c r="H49" s="34" t="inlineStr"/>
      <c r="I49" s="34" t="inlineStr"/>
      <c r="J49" s="34" t="inlineStr"/>
      <c r="K49" s="34" t="inlineStr"/>
      <c r="L49" s="34" t="inlineStr"/>
    </row>
    <row r="50" ht="20" customHeight="1">
      <c r="A50" s="169" t="n">
        <v>12</v>
      </c>
      <c r="B50" s="72" t="inlineStr">
        <is>
          <t>Декабрь</t>
        </is>
      </c>
      <c r="C50" s="57">
        <f>SUMIFS(tblБаза[Сумма],tblБаза[Тип],"Приход",tblБаза[Дата],"&gt;="&amp;DATE($B$3,12,1),tblБаза[Дата],"&lt;="&amp;EOMONTH(DATE($B$3,12,1),0))</f>
        <v/>
      </c>
      <c r="D50" s="57">
        <f>SUMIFS(tblБаза[Сумма],tblБаза[Тип],"Расход",tblБаза[Дата],"&gt;="&amp;DATE($B$3,12,1),tblБаза[Дата],"&lt;="&amp;EOMONTH(DATE($B$3,12,1),0))</f>
        <v/>
      </c>
      <c r="E50" s="97">
        <f>C50-D50</f>
        <v/>
      </c>
      <c r="F50" s="98">
        <f>IFERROR((C50-D50)/MAX(1,C50),0)</f>
        <v/>
      </c>
      <c r="G50" s="31" t="inlineStr"/>
      <c r="H50" s="31" t="inlineStr"/>
      <c r="I50" s="31" t="inlineStr"/>
      <c r="J50" s="31" t="inlineStr"/>
      <c r="K50" s="31" t="inlineStr"/>
      <c r="L50" s="31" t="inlineStr"/>
    </row>
    <row r="51" ht="22" customHeight="1">
      <c r="A51" s="27" t="inlineStr"/>
      <c r="B51" s="25" t="inlineStr">
        <is>
          <t>ИТОГО</t>
        </is>
      </c>
      <c r="C51" s="170">
        <f>SUM(C39:C50)</f>
        <v/>
      </c>
      <c r="D51" s="170">
        <f>SUM(D39:D50)</f>
        <v/>
      </c>
      <c r="E51" s="170">
        <f>SUM(E39:E50)</f>
        <v/>
      </c>
      <c r="F51" s="171">
        <f>IFERROR(E51/MAX(1,C51),0)</f>
        <v/>
      </c>
      <c r="G51" s="27" t="inlineStr"/>
      <c r="H51" s="27" t="inlineStr"/>
      <c r="I51" s="27" t="inlineStr"/>
      <c r="J51" s="27" t="inlineStr"/>
      <c r="K51" s="27" t="inlineStr"/>
      <c r="L51" s="27" t="inlineStr"/>
    </row>
    <row r="52" ht="12" customHeight="1"/>
    <row r="53" ht="24" customHeight="1">
      <c r="A53" s="91" t="inlineStr">
        <is>
          <t xml:space="preserve">  ОПЕРАЦИОННАЯ СТАТИСТИКА ПО МЕСЯЦАМ</t>
        </is>
      </c>
    </row>
    <row r="54" ht="20" customHeight="1">
      <c r="A54" s="47" t="inlineStr">
        <is>
          <t>#</t>
        </is>
      </c>
      <c r="B54" s="47" t="inlineStr">
        <is>
          <t>Месяц</t>
        </is>
      </c>
      <c r="C54" s="47" t="inlineStr">
        <is>
          <t>Смен</t>
        </is>
      </c>
      <c r="D54" s="47" t="inlineStr">
        <is>
          <t>Операций</t>
        </is>
      </c>
      <c r="E54" s="47" t="inlineStr">
        <is>
          <t>Ср. выр./день</t>
        </is>
      </c>
      <c r="F54" s="47" t="inlineStr">
        <is>
          <t>Лучший день</t>
        </is>
      </c>
      <c r="G54" s="47" t="inlineStr">
        <is>
          <t>Расхождений</t>
        </is>
      </c>
      <c r="H54" s="47" t="inlineStr"/>
      <c r="I54" s="47" t="inlineStr"/>
      <c r="J54" s="47" t="inlineStr"/>
      <c r="K54" s="47" t="inlineStr"/>
      <c r="L54" s="47" t="inlineStr"/>
    </row>
    <row r="55" ht="20" customHeight="1">
      <c r="A55" s="168" t="n">
        <v>1</v>
      </c>
      <c r="B55" s="94" t="inlineStr">
        <is>
          <t>Январь</t>
        </is>
      </c>
      <c r="C55" s="172">
        <f>ROUND(COUNTIFS(tblБаза[Тип],"Приход",tblБаза[Дата],"&gt;="&amp;DATE($B$3,1,1),tblБаза[Дата],"&lt;="&amp;EOMONTH(DATE($B$3,1,1),0))/3,0)</f>
        <v/>
      </c>
      <c r="D55" s="172">
        <f>COUNTIFS(tblБаза[Дата],"&gt;="&amp;DATE($B$3,1,1),tblБаза[Дата],"&lt;="&amp;EOMONTH(DATE($B$3,1,1),0))</f>
        <v/>
      </c>
      <c r="E55" s="52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52">
        <f>IFERROR(MAXIFS(tblБаза[Сумма],tblБаза[Тип],"Приход",tblБаза[Дата],"&gt;="&amp;DATE($B$3,1,1),tblБаза[Дата],"&lt;="&amp;EOMONTH(DATE($B$3,1,1),0)),0)</f>
        <v/>
      </c>
      <c r="G55" s="52">
        <f>SUMIFS(tblБаза[Расхождение],tblБаза[Тип],"Приход",tblБаза[Дата],"&gt;="&amp;DATE($B$3,1,1),tblБаза[Дата],"&lt;="&amp;EOMONTH(DATE($B$3,1,1),0))</f>
        <v/>
      </c>
      <c r="H55" s="34" t="inlineStr"/>
      <c r="I55" s="34" t="inlineStr"/>
      <c r="J55" s="34" t="inlineStr"/>
      <c r="K55" s="34" t="inlineStr"/>
      <c r="L55" s="34" t="inlineStr"/>
    </row>
    <row r="56" ht="20" customHeight="1">
      <c r="A56" s="169" t="n">
        <v>2</v>
      </c>
      <c r="B56" s="72" t="inlineStr">
        <is>
          <t>Февраль</t>
        </is>
      </c>
      <c r="C56" s="173">
        <f>ROUND(COUNTIFS(tblБаза[Тип],"Приход",tblБаза[Дата],"&gt;="&amp;DATE($B$3,2,1),tblБаза[Дата],"&lt;="&amp;EOMONTH(DATE($B$3,2,1),0))/3,0)</f>
        <v/>
      </c>
      <c r="D56" s="173">
        <f>COUNTIFS(tblБаза[Дата],"&gt;="&amp;DATE($B$3,2,1),tblБаза[Дата],"&lt;="&amp;EOMONTH(DATE($B$3,2,1),0))</f>
        <v/>
      </c>
      <c r="E56" s="57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7">
        <f>IFERROR(MAXIFS(tblБаза[Сумма],tblБаза[Тип],"Приход",tblБаза[Дата],"&gt;="&amp;DATE($B$3,2,1),tblБаза[Дата],"&lt;="&amp;EOMONTH(DATE($B$3,2,1),0)),0)</f>
        <v/>
      </c>
      <c r="G56" s="57">
        <f>SUMIFS(tblБаза[Расхождение],tblБаза[Тип],"Приход",tblБаза[Дата],"&gt;="&amp;DATE($B$3,2,1),tblБаза[Дата],"&lt;="&amp;EOMONTH(DATE($B$3,2,1),0))</f>
        <v/>
      </c>
      <c r="H56" s="31" t="inlineStr"/>
      <c r="I56" s="31" t="inlineStr"/>
      <c r="J56" s="31" t="inlineStr"/>
      <c r="K56" s="31" t="inlineStr"/>
      <c r="L56" s="31" t="inlineStr"/>
    </row>
    <row r="57" ht="20" customHeight="1">
      <c r="A57" s="168" t="n">
        <v>3</v>
      </c>
      <c r="B57" s="94" t="inlineStr">
        <is>
          <t>Март</t>
        </is>
      </c>
      <c r="C57" s="172">
        <f>ROUND(COUNTIFS(tblБаза[Тип],"Приход",tblБаза[Дата],"&gt;="&amp;DATE($B$3,3,1),tblБаза[Дата],"&lt;="&amp;EOMONTH(DATE($B$3,3,1),0))/3,0)</f>
        <v/>
      </c>
      <c r="D57" s="172">
        <f>COUNTIFS(tblБаза[Дата],"&gt;="&amp;DATE($B$3,3,1),tblБаза[Дата],"&lt;="&amp;EOMONTH(DATE($B$3,3,1),0))</f>
        <v/>
      </c>
      <c r="E57" s="52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52">
        <f>IFERROR(MAXIFS(tblБаза[Сумма],tblБаза[Тип],"Приход",tblБаза[Дата],"&gt;="&amp;DATE($B$3,3,1),tblБаза[Дата],"&lt;="&amp;EOMONTH(DATE($B$3,3,1),0)),0)</f>
        <v/>
      </c>
      <c r="G57" s="52">
        <f>SUMIFS(tblБаза[Расхождение],tblБаза[Тип],"Приход",tblБаза[Дата],"&gt;="&amp;DATE($B$3,3,1),tblБаза[Дата],"&lt;="&amp;EOMONTH(DATE($B$3,3,1),0))</f>
        <v/>
      </c>
      <c r="H57" s="34" t="inlineStr"/>
      <c r="I57" s="34" t="inlineStr"/>
      <c r="J57" s="34" t="inlineStr"/>
      <c r="K57" s="34" t="inlineStr"/>
      <c r="L57" s="34" t="inlineStr"/>
    </row>
    <row r="58" ht="20" customHeight="1">
      <c r="A58" s="169" t="n">
        <v>4</v>
      </c>
      <c r="B58" s="72" t="inlineStr">
        <is>
          <t>Апрель</t>
        </is>
      </c>
      <c r="C58" s="173">
        <f>ROUND(COUNTIFS(tblБаза[Тип],"Приход",tblБаза[Дата],"&gt;="&amp;DATE($B$3,4,1),tblБаза[Дата],"&lt;="&amp;EOMONTH(DATE($B$3,4,1),0))/3,0)</f>
        <v/>
      </c>
      <c r="D58" s="173">
        <f>COUNTIFS(tblБаза[Дата],"&gt;="&amp;DATE($B$3,4,1),tblБаза[Дата],"&lt;="&amp;EOMONTH(DATE($B$3,4,1),0))</f>
        <v/>
      </c>
      <c r="E58" s="57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7">
        <f>IFERROR(MAXIFS(tblБаза[Сумма],tblБаза[Тип],"Приход",tblБаза[Дата],"&gt;="&amp;DATE($B$3,4,1),tblБаза[Дата],"&lt;="&amp;EOMONTH(DATE($B$3,4,1),0)),0)</f>
        <v/>
      </c>
      <c r="G58" s="57">
        <f>SUMIFS(tblБаза[Расхождение],tblБаза[Тип],"Приход",tblБаза[Дата],"&gt;="&amp;DATE($B$3,4,1),tblБаза[Дата],"&lt;="&amp;EOMONTH(DATE($B$3,4,1),0))</f>
        <v/>
      </c>
      <c r="H58" s="31" t="inlineStr"/>
      <c r="I58" s="31" t="inlineStr"/>
      <c r="J58" s="31" t="inlineStr"/>
      <c r="K58" s="31" t="inlineStr"/>
      <c r="L58" s="31" t="inlineStr"/>
    </row>
    <row r="59" ht="20" customHeight="1">
      <c r="A59" s="168" t="n">
        <v>5</v>
      </c>
      <c r="B59" s="94" t="inlineStr">
        <is>
          <t>Май</t>
        </is>
      </c>
      <c r="C59" s="172">
        <f>ROUND(COUNTIFS(tblБаза[Тип],"Приход",tblБаза[Дата],"&gt;="&amp;DATE($B$3,5,1),tblБаза[Дата],"&lt;="&amp;EOMONTH(DATE($B$3,5,1),0))/3,0)</f>
        <v/>
      </c>
      <c r="D59" s="172">
        <f>COUNTIFS(tblБаза[Дата],"&gt;="&amp;DATE($B$3,5,1),tblБаза[Дата],"&lt;="&amp;EOMONTH(DATE($B$3,5,1),0))</f>
        <v/>
      </c>
      <c r="E59" s="52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52">
        <f>IFERROR(MAXIFS(tblБаза[Сумма],tblБаза[Тип],"Приход",tblБаза[Дата],"&gt;="&amp;DATE($B$3,5,1),tblБаза[Дата],"&lt;="&amp;EOMONTH(DATE($B$3,5,1),0)),0)</f>
        <v/>
      </c>
      <c r="G59" s="52">
        <f>SUMIFS(tblБаза[Расхождение],tblБаза[Тип],"Приход",tblБаза[Дата],"&gt;="&amp;DATE($B$3,5,1),tblБаза[Дата],"&lt;="&amp;EOMONTH(DATE($B$3,5,1),0))</f>
        <v/>
      </c>
      <c r="H59" s="34" t="inlineStr"/>
      <c r="I59" s="34" t="inlineStr"/>
      <c r="J59" s="34" t="inlineStr"/>
      <c r="K59" s="34" t="inlineStr"/>
      <c r="L59" s="34" t="inlineStr"/>
    </row>
    <row r="60" ht="20" customHeight="1">
      <c r="A60" s="169" t="n">
        <v>6</v>
      </c>
      <c r="B60" s="72" t="inlineStr">
        <is>
          <t>Июнь</t>
        </is>
      </c>
      <c r="C60" s="173">
        <f>ROUND(COUNTIFS(tblБаза[Тип],"Приход",tblБаза[Дата],"&gt;="&amp;DATE($B$3,6,1),tblБаза[Дата],"&lt;="&amp;EOMONTH(DATE($B$3,6,1),0))/3,0)</f>
        <v/>
      </c>
      <c r="D60" s="173">
        <f>COUNTIFS(tblБаза[Дата],"&gt;="&amp;DATE($B$3,6,1),tblБаза[Дата],"&lt;="&amp;EOMONTH(DATE($B$3,6,1),0))</f>
        <v/>
      </c>
      <c r="E60" s="57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7">
        <f>IFERROR(MAXIFS(tblБаза[Сумма],tblБаза[Тип],"Приход",tblБаза[Дата],"&gt;="&amp;DATE($B$3,6,1),tblБаза[Дата],"&lt;="&amp;EOMONTH(DATE($B$3,6,1),0)),0)</f>
        <v/>
      </c>
      <c r="G60" s="57">
        <f>SUMIFS(tblБаза[Расхождение],tblБаза[Тип],"Приход",tblБаза[Дата],"&gt;="&amp;DATE($B$3,6,1),tblБаза[Дата],"&lt;="&amp;EOMONTH(DATE($B$3,6,1),0))</f>
        <v/>
      </c>
      <c r="H60" s="31" t="inlineStr"/>
      <c r="I60" s="31" t="inlineStr"/>
      <c r="J60" s="31" t="inlineStr"/>
      <c r="K60" s="31" t="inlineStr"/>
      <c r="L60" s="31" t="inlineStr"/>
    </row>
    <row r="61" ht="20" customHeight="1">
      <c r="A61" s="168" t="n">
        <v>7</v>
      </c>
      <c r="B61" s="94" t="inlineStr">
        <is>
          <t>Июль</t>
        </is>
      </c>
      <c r="C61" s="172">
        <f>ROUND(COUNTIFS(tblБаза[Тип],"Приход",tblБаза[Дата],"&gt;="&amp;DATE($B$3,7,1),tblБаза[Дата],"&lt;="&amp;EOMONTH(DATE($B$3,7,1),0))/3,0)</f>
        <v/>
      </c>
      <c r="D61" s="172">
        <f>COUNTIFS(tblБаза[Дата],"&gt;="&amp;DATE($B$3,7,1),tblБаза[Дата],"&lt;="&amp;EOMONTH(DATE($B$3,7,1),0))</f>
        <v/>
      </c>
      <c r="E61" s="52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52">
        <f>IFERROR(MAXIFS(tblБаза[Сумма],tblБаза[Тип],"Приход",tblБаза[Дата],"&gt;="&amp;DATE($B$3,7,1),tblБаза[Дата],"&lt;="&amp;EOMONTH(DATE($B$3,7,1),0)),0)</f>
        <v/>
      </c>
      <c r="G61" s="52">
        <f>SUMIFS(tblБаза[Расхождение],tblБаза[Тип],"Приход",tblБаза[Дата],"&gt;="&amp;DATE($B$3,7,1),tblБаза[Дата],"&lt;="&amp;EOMONTH(DATE($B$3,7,1),0))</f>
        <v/>
      </c>
      <c r="H61" s="34" t="inlineStr"/>
      <c r="I61" s="34" t="inlineStr"/>
      <c r="J61" s="34" t="inlineStr"/>
      <c r="K61" s="34" t="inlineStr"/>
      <c r="L61" s="34" t="inlineStr"/>
    </row>
    <row r="62" ht="20" customHeight="1">
      <c r="A62" s="169" t="n">
        <v>8</v>
      </c>
      <c r="B62" s="72" t="inlineStr">
        <is>
          <t>Август</t>
        </is>
      </c>
      <c r="C62" s="173">
        <f>ROUND(COUNTIFS(tblБаза[Тип],"Приход",tblБаза[Дата],"&gt;="&amp;DATE($B$3,8,1),tblБаза[Дата],"&lt;="&amp;EOMONTH(DATE($B$3,8,1),0))/3,0)</f>
        <v/>
      </c>
      <c r="D62" s="173">
        <f>COUNTIFS(tblБаза[Дата],"&gt;="&amp;DATE($B$3,8,1),tblБаза[Дата],"&lt;="&amp;EOMONTH(DATE($B$3,8,1),0))</f>
        <v/>
      </c>
      <c r="E62" s="57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7">
        <f>IFERROR(MAXIFS(tblБаза[Сумма],tblБаза[Тип],"Приход",tblБаза[Дата],"&gt;="&amp;DATE($B$3,8,1),tblБаза[Дата],"&lt;="&amp;EOMONTH(DATE($B$3,8,1),0)),0)</f>
        <v/>
      </c>
      <c r="G62" s="57">
        <f>SUMIFS(tblБаза[Расхождение],tblБаза[Тип],"Приход",tblБаза[Дата],"&gt;="&amp;DATE($B$3,8,1),tblБаза[Дата],"&lt;="&amp;EOMONTH(DATE($B$3,8,1),0))</f>
        <v/>
      </c>
      <c r="H62" s="31" t="inlineStr"/>
      <c r="I62" s="31" t="inlineStr"/>
      <c r="J62" s="31" t="inlineStr"/>
      <c r="K62" s="31" t="inlineStr"/>
      <c r="L62" s="31" t="inlineStr"/>
    </row>
    <row r="63" ht="20" customHeight="1">
      <c r="A63" s="168" t="n">
        <v>9</v>
      </c>
      <c r="B63" s="94" t="inlineStr">
        <is>
          <t>Сентябрь</t>
        </is>
      </c>
      <c r="C63" s="172">
        <f>ROUND(COUNTIFS(tblБаза[Тип],"Приход",tblБаза[Дата],"&gt;="&amp;DATE($B$3,9,1),tblБаза[Дата],"&lt;="&amp;EOMONTH(DATE($B$3,9,1),0))/3,0)</f>
        <v/>
      </c>
      <c r="D63" s="172">
        <f>COUNTIFS(tblБаза[Дата],"&gt;="&amp;DATE($B$3,9,1),tblБаза[Дата],"&lt;="&amp;EOMONTH(DATE($B$3,9,1),0))</f>
        <v/>
      </c>
      <c r="E63" s="52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52">
        <f>IFERROR(MAXIFS(tblБаза[Сумма],tblБаза[Тип],"Приход",tblБаза[Дата],"&gt;="&amp;DATE($B$3,9,1),tblБаза[Дата],"&lt;="&amp;EOMONTH(DATE($B$3,9,1),0)),0)</f>
        <v/>
      </c>
      <c r="G63" s="52">
        <f>SUMIFS(tblБаза[Расхождение],tblБаза[Тип],"Приход",tblБаза[Дата],"&gt;="&amp;DATE($B$3,9,1),tblБаза[Дата],"&lt;="&amp;EOMONTH(DATE($B$3,9,1),0))</f>
        <v/>
      </c>
      <c r="H63" s="34" t="inlineStr"/>
      <c r="I63" s="34" t="inlineStr"/>
      <c r="J63" s="34" t="inlineStr"/>
      <c r="K63" s="34" t="inlineStr"/>
      <c r="L63" s="34" t="inlineStr"/>
    </row>
    <row r="64" ht="20" customHeight="1">
      <c r="A64" s="169" t="n">
        <v>10</v>
      </c>
      <c r="B64" s="72" t="inlineStr">
        <is>
          <t>Октябрь</t>
        </is>
      </c>
      <c r="C64" s="173">
        <f>ROUND(COUNTIFS(tblБаза[Тип],"Приход",tblБаза[Дата],"&gt;="&amp;DATE($B$3,10,1),tblБаза[Дата],"&lt;="&amp;EOMONTH(DATE($B$3,10,1),0))/3,0)</f>
        <v/>
      </c>
      <c r="D64" s="173">
        <f>COUNTIFS(tblБаза[Дата],"&gt;="&amp;DATE($B$3,10,1),tblБаза[Дата],"&lt;="&amp;EOMONTH(DATE($B$3,10,1),0))</f>
        <v/>
      </c>
      <c r="E64" s="57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7">
        <f>IFERROR(MAXIFS(tblБаза[Сумма],tblБаза[Тип],"Приход",tblБаза[Дата],"&gt;="&amp;DATE($B$3,10,1),tblБаза[Дата],"&lt;="&amp;EOMONTH(DATE($B$3,10,1),0)),0)</f>
        <v/>
      </c>
      <c r="G64" s="57">
        <f>SUMIFS(tblБаза[Расхождение],tblБаза[Тип],"Приход",tblБаза[Дата],"&gt;="&amp;DATE($B$3,10,1),tblБаза[Дата],"&lt;="&amp;EOMONTH(DATE($B$3,10,1),0))</f>
        <v/>
      </c>
      <c r="H64" s="31" t="inlineStr"/>
      <c r="I64" s="31" t="inlineStr"/>
      <c r="J64" s="31" t="inlineStr"/>
      <c r="K64" s="31" t="inlineStr"/>
      <c r="L64" s="31" t="inlineStr"/>
    </row>
    <row r="65" ht="20" customHeight="1">
      <c r="A65" s="168" t="n">
        <v>11</v>
      </c>
      <c r="B65" s="94" t="inlineStr">
        <is>
          <t>Ноябрь</t>
        </is>
      </c>
      <c r="C65" s="172">
        <f>ROUND(COUNTIFS(tblБаза[Тип],"Приход",tblБаза[Дата],"&gt;="&amp;DATE($B$3,11,1),tblБаза[Дата],"&lt;="&amp;EOMONTH(DATE($B$3,11,1),0))/3,0)</f>
        <v/>
      </c>
      <c r="D65" s="172">
        <f>COUNTIFS(tblБаза[Дата],"&gt;="&amp;DATE($B$3,11,1),tblБаза[Дата],"&lt;="&amp;EOMONTH(DATE($B$3,11,1),0))</f>
        <v/>
      </c>
      <c r="E65" s="52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52">
        <f>IFERROR(MAXIFS(tblБаза[Сумма],tblБаза[Тип],"Приход",tblБаза[Дата],"&gt;="&amp;DATE($B$3,11,1),tblБаза[Дата],"&lt;="&amp;EOMONTH(DATE($B$3,11,1),0)),0)</f>
        <v/>
      </c>
      <c r="G65" s="52">
        <f>SUMIFS(tblБаза[Расхождение],tblБаза[Тип],"Приход",tblБаза[Дата],"&gt;="&amp;DATE($B$3,11,1),tblБаза[Дата],"&lt;="&amp;EOMONTH(DATE($B$3,11,1),0))</f>
        <v/>
      </c>
      <c r="H65" s="34" t="inlineStr"/>
      <c r="I65" s="34" t="inlineStr"/>
      <c r="J65" s="34" t="inlineStr"/>
      <c r="K65" s="34" t="inlineStr"/>
      <c r="L65" s="34" t="inlineStr"/>
    </row>
    <row r="66" ht="20" customHeight="1">
      <c r="A66" s="169" t="n">
        <v>12</v>
      </c>
      <c r="B66" s="72" t="inlineStr">
        <is>
          <t>Декабрь</t>
        </is>
      </c>
      <c r="C66" s="173">
        <f>ROUND(COUNTIFS(tblБаза[Тип],"Приход",tblБаза[Дата],"&gt;="&amp;DATE($B$3,12,1),tblБаза[Дата],"&lt;="&amp;EOMONTH(DATE($B$3,12,1),0))/3,0)</f>
        <v/>
      </c>
      <c r="D66" s="173">
        <f>COUNTIFS(tblБаза[Дата],"&gt;="&amp;DATE($B$3,12,1),tblБаза[Дата],"&lt;="&amp;EOMONTH(DATE($B$3,12,1),0))</f>
        <v/>
      </c>
      <c r="E66" s="57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7">
        <f>IFERROR(MAXIFS(tblБаза[Сумма],tblБаза[Тип],"Приход",tblБаза[Дата],"&gt;="&amp;DATE($B$3,12,1),tblБаза[Дата],"&lt;="&amp;EOMONTH(DATE($B$3,12,1),0)),0)</f>
        <v/>
      </c>
      <c r="G66" s="57">
        <f>SUMIFS(tblБаза[Расхождение],tblБаза[Тип],"Приход",tblБаза[Дата],"&gt;="&amp;DATE($B$3,12,1),tblБаза[Дата],"&lt;="&amp;EOMONTH(DATE($B$3,12,1),0))</f>
        <v/>
      </c>
      <c r="H66" s="31" t="inlineStr"/>
      <c r="I66" s="31" t="inlineStr"/>
      <c r="J66" s="31" t="inlineStr"/>
      <c r="K66" s="31" t="inlineStr"/>
      <c r="L66" s="31" t="inlineStr"/>
    </row>
    <row r="67" ht="22" customHeight="1">
      <c r="A67" s="27" t="inlineStr"/>
      <c r="B67" s="25" t="inlineStr">
        <is>
          <t>ИТОГО / СРЕДНЕЕ</t>
        </is>
      </c>
      <c r="C67" s="174">
        <f>SUM(C55:C66)</f>
        <v/>
      </c>
      <c r="D67" s="174">
        <f>SUM(D55:D66)</f>
        <v/>
      </c>
      <c r="E67" s="170">
        <f>IFERROR(AVERAGE(E55:E66),0)</f>
        <v/>
      </c>
      <c r="F67" s="170">
        <f>IFERROR(AVERAGE(F55:F66),0)</f>
        <v/>
      </c>
      <c r="G67" s="170">
        <f>IFERROR(AVERAGE(G55:G66),0)</f>
        <v/>
      </c>
      <c r="H67" s="27" t="inlineStr"/>
      <c r="I67" s="27" t="inlineStr"/>
      <c r="J67" s="27" t="inlineStr"/>
      <c r="K67" s="27" t="inlineStr"/>
      <c r="L67" s="27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7" t="inlineStr">
        <is>
          <t>#</t>
        </is>
      </c>
      <c r="B70" s="47" t="inlineStr">
        <is>
          <t>Месяц</t>
        </is>
      </c>
      <c r="C70" s="47" t="inlineStr">
        <is>
          <t>Взято в долг</t>
        </is>
      </c>
      <c r="D70" s="47" t="inlineStr">
        <is>
          <t>Выплачено</t>
        </is>
      </c>
      <c r="E70" s="47" t="inlineStr">
        <is>
          <t>Нетто долг</t>
        </is>
      </c>
      <c r="F70" s="47" t="inlineStr">
        <is>
          <t>% выплат</t>
        </is>
      </c>
      <c r="G70" s="47" t="inlineStr"/>
      <c r="H70" s="47" t="inlineStr"/>
      <c r="I70" s="47" t="inlineStr"/>
      <c r="J70" s="47" t="inlineStr"/>
      <c r="K70" s="47" t="inlineStr"/>
      <c r="L70" s="47" t="inlineStr"/>
    </row>
    <row r="71" ht="20" customHeight="1">
      <c r="A71" s="168" t="n">
        <v>1</v>
      </c>
      <c r="B71" s="94" t="inlineStr">
        <is>
          <t>Январь</t>
        </is>
      </c>
      <c r="C71" s="52">
        <f>SUMIFS(tblБаза[Сумма],tblБаза[Тип],"Долг",tblБаза[Дата],"&gt;="&amp;DATE($B$3,1,1),tblБаза[Дата],"&lt;="&amp;EOMONTH(DATE($B$3,1,1),0))</f>
        <v/>
      </c>
      <c r="D71" s="52">
        <f>SUMIFS(tblБаза[Сумма],tblБаза[Категория],"Оплата ТП",tblБаза[Дата],"&gt;="&amp;DATE($B$3,1,1),tblБаза[Дата],"&lt;="&amp;EOMONTH(DATE($B$3,1,1),0))</f>
        <v/>
      </c>
      <c r="E71" s="95">
        <f>C71-D71</f>
        <v/>
      </c>
      <c r="F71" s="96">
        <f>IFERROR(D71/MAX(1,C71),0)</f>
        <v/>
      </c>
      <c r="G71" s="34" t="inlineStr"/>
      <c r="H71" s="34" t="inlineStr"/>
      <c r="I71" s="34" t="inlineStr"/>
      <c r="J71" s="34" t="inlineStr"/>
      <c r="K71" s="34" t="inlineStr"/>
      <c r="L71" s="34" t="inlineStr"/>
    </row>
    <row r="72" ht="20" customHeight="1">
      <c r="A72" s="169" t="n">
        <v>2</v>
      </c>
      <c r="B72" s="72" t="inlineStr">
        <is>
          <t>Февраль</t>
        </is>
      </c>
      <c r="C72" s="57">
        <f>SUMIFS(tblБаза[Сумма],tblБаза[Тип],"Долг",tblБаза[Дата],"&gt;="&amp;DATE($B$3,2,1),tblБаза[Дата],"&lt;="&amp;EOMONTH(DATE($B$3,2,1),0))</f>
        <v/>
      </c>
      <c r="D72" s="57">
        <f>SUMIFS(tblБаза[Сумма],tblБаза[Категория],"Оплата ТП",tblБаза[Дата],"&gt;="&amp;DATE($B$3,2,1),tblБаза[Дата],"&lt;="&amp;EOMONTH(DATE($B$3,2,1),0))</f>
        <v/>
      </c>
      <c r="E72" s="97">
        <f>C72-D72</f>
        <v/>
      </c>
      <c r="F72" s="98">
        <f>IFERROR(D72/MAX(1,C72),0)</f>
        <v/>
      </c>
      <c r="G72" s="31" t="inlineStr"/>
      <c r="H72" s="31" t="inlineStr"/>
      <c r="I72" s="31" t="inlineStr"/>
      <c r="J72" s="31" t="inlineStr"/>
      <c r="K72" s="31" t="inlineStr"/>
      <c r="L72" s="31" t="inlineStr"/>
    </row>
    <row r="73" ht="20" customHeight="1">
      <c r="A73" s="168" t="n">
        <v>3</v>
      </c>
      <c r="B73" s="94" t="inlineStr">
        <is>
          <t>Март</t>
        </is>
      </c>
      <c r="C73" s="52">
        <f>SUMIFS(tblБаза[Сумма],tblБаза[Тип],"Долг",tblБаза[Дата],"&gt;="&amp;DATE($B$3,3,1),tblБаза[Дата],"&lt;="&amp;EOMONTH(DATE($B$3,3,1),0))</f>
        <v/>
      </c>
      <c r="D73" s="52">
        <f>SUMIFS(tblБаза[Сумма],tblБаза[Категория],"Оплата ТП",tblБаза[Дата],"&gt;="&amp;DATE($B$3,3,1),tblБаза[Дата],"&lt;="&amp;EOMONTH(DATE($B$3,3,1),0))</f>
        <v/>
      </c>
      <c r="E73" s="95">
        <f>C73-D73</f>
        <v/>
      </c>
      <c r="F73" s="96">
        <f>IFERROR(D73/MAX(1,C73),0)</f>
        <v/>
      </c>
      <c r="G73" s="34" t="inlineStr"/>
      <c r="H73" s="34" t="inlineStr"/>
      <c r="I73" s="34" t="inlineStr"/>
      <c r="J73" s="34" t="inlineStr"/>
      <c r="K73" s="34" t="inlineStr"/>
      <c r="L73" s="34" t="inlineStr"/>
    </row>
    <row r="74" ht="20" customHeight="1">
      <c r="A74" s="169" t="n">
        <v>4</v>
      </c>
      <c r="B74" s="72" t="inlineStr">
        <is>
          <t>Апрель</t>
        </is>
      </c>
      <c r="C74" s="57">
        <f>SUMIFS(tblБаза[Сумма],tblБаза[Тип],"Долг",tblБаза[Дата],"&gt;="&amp;DATE($B$3,4,1),tblБаза[Дата],"&lt;="&amp;EOMONTH(DATE($B$3,4,1),0))</f>
        <v/>
      </c>
      <c r="D74" s="57">
        <f>SUMIFS(tblБаза[Сумма],tblБаза[Категория],"Оплата ТП",tblБаза[Дата],"&gt;="&amp;DATE($B$3,4,1),tblБаза[Дата],"&lt;="&amp;EOMONTH(DATE($B$3,4,1),0))</f>
        <v/>
      </c>
      <c r="E74" s="97">
        <f>C74-D74</f>
        <v/>
      </c>
      <c r="F74" s="98">
        <f>IFERROR(D74/MAX(1,C74),0)</f>
        <v/>
      </c>
      <c r="G74" s="31" t="inlineStr"/>
      <c r="H74" s="31" t="inlineStr"/>
      <c r="I74" s="31" t="inlineStr"/>
      <c r="J74" s="31" t="inlineStr"/>
      <c r="K74" s="31" t="inlineStr"/>
      <c r="L74" s="31" t="inlineStr"/>
    </row>
    <row r="75" ht="20" customHeight="1">
      <c r="A75" s="168" t="n">
        <v>5</v>
      </c>
      <c r="B75" s="94" t="inlineStr">
        <is>
          <t>Май</t>
        </is>
      </c>
      <c r="C75" s="52">
        <f>SUMIFS(tblБаза[Сумма],tblБаза[Тип],"Долг",tblБаза[Дата],"&gt;="&amp;DATE($B$3,5,1),tblБаза[Дата],"&lt;="&amp;EOMONTH(DATE($B$3,5,1),0))</f>
        <v/>
      </c>
      <c r="D75" s="52">
        <f>SUMIFS(tblБаза[Сумма],tblБаза[Категория],"Оплата ТП",tblБаза[Дата],"&gt;="&amp;DATE($B$3,5,1),tblБаза[Дата],"&lt;="&amp;EOMONTH(DATE($B$3,5,1),0))</f>
        <v/>
      </c>
      <c r="E75" s="95">
        <f>C75-D75</f>
        <v/>
      </c>
      <c r="F75" s="96">
        <f>IFERROR(D75/MAX(1,C75),0)</f>
        <v/>
      </c>
      <c r="G75" s="34" t="inlineStr"/>
      <c r="H75" s="34" t="inlineStr"/>
      <c r="I75" s="34" t="inlineStr"/>
      <c r="J75" s="34" t="inlineStr"/>
      <c r="K75" s="34" t="inlineStr"/>
      <c r="L75" s="34" t="inlineStr"/>
    </row>
    <row r="76" ht="20" customHeight="1">
      <c r="A76" s="169" t="n">
        <v>6</v>
      </c>
      <c r="B76" s="72" t="inlineStr">
        <is>
          <t>Июнь</t>
        </is>
      </c>
      <c r="C76" s="57">
        <f>SUMIFS(tblБаза[Сумма],tblБаза[Тип],"Долг",tblБаза[Дата],"&gt;="&amp;DATE($B$3,6,1),tblБаза[Дата],"&lt;="&amp;EOMONTH(DATE($B$3,6,1),0))</f>
        <v/>
      </c>
      <c r="D76" s="57">
        <f>SUMIFS(tblБаза[Сумма],tblБаза[Категория],"Оплата ТП",tblБаза[Дата],"&gt;="&amp;DATE($B$3,6,1),tblБаза[Дата],"&lt;="&amp;EOMONTH(DATE($B$3,6,1),0))</f>
        <v/>
      </c>
      <c r="E76" s="97">
        <f>C76-D76</f>
        <v/>
      </c>
      <c r="F76" s="98">
        <f>IFERROR(D76/MAX(1,C76),0)</f>
        <v/>
      </c>
      <c r="G76" s="31" t="inlineStr"/>
      <c r="H76" s="31" t="inlineStr"/>
      <c r="I76" s="31" t="inlineStr"/>
      <c r="J76" s="31" t="inlineStr"/>
      <c r="K76" s="31" t="inlineStr"/>
      <c r="L76" s="31" t="inlineStr"/>
    </row>
    <row r="77" ht="20" customHeight="1">
      <c r="A77" s="168" t="n">
        <v>7</v>
      </c>
      <c r="B77" s="94" t="inlineStr">
        <is>
          <t>Июль</t>
        </is>
      </c>
      <c r="C77" s="52">
        <f>SUMIFS(tblБаза[Сумма],tblБаза[Тип],"Долг",tblБаза[Дата],"&gt;="&amp;DATE($B$3,7,1),tblБаза[Дата],"&lt;="&amp;EOMONTH(DATE($B$3,7,1),0))</f>
        <v/>
      </c>
      <c r="D77" s="52">
        <f>SUMIFS(tblБаза[Сумма],tblБаза[Категория],"Оплата ТП",tblБаза[Дата],"&gt;="&amp;DATE($B$3,7,1),tblБаза[Дата],"&lt;="&amp;EOMONTH(DATE($B$3,7,1),0))</f>
        <v/>
      </c>
      <c r="E77" s="95">
        <f>C77-D77</f>
        <v/>
      </c>
      <c r="F77" s="96">
        <f>IFERROR(D77/MAX(1,C77),0)</f>
        <v/>
      </c>
      <c r="G77" s="34" t="inlineStr"/>
      <c r="H77" s="34" t="inlineStr"/>
      <c r="I77" s="34" t="inlineStr"/>
      <c r="J77" s="34" t="inlineStr"/>
      <c r="K77" s="34" t="inlineStr"/>
      <c r="L77" s="34" t="inlineStr"/>
    </row>
    <row r="78" ht="20" customHeight="1">
      <c r="A78" s="169" t="n">
        <v>8</v>
      </c>
      <c r="B78" s="72" t="inlineStr">
        <is>
          <t>Август</t>
        </is>
      </c>
      <c r="C78" s="57">
        <f>SUMIFS(tblБаза[Сумма],tblБаза[Тип],"Долг",tblБаза[Дата],"&gt;="&amp;DATE($B$3,8,1),tblБаза[Дата],"&lt;="&amp;EOMONTH(DATE($B$3,8,1),0))</f>
        <v/>
      </c>
      <c r="D78" s="57">
        <f>SUMIFS(tblБаза[Сумма],tblБаза[Категория],"Оплата ТП",tblБаза[Дата],"&gt;="&amp;DATE($B$3,8,1),tblБаза[Дата],"&lt;="&amp;EOMONTH(DATE($B$3,8,1),0))</f>
        <v/>
      </c>
      <c r="E78" s="97">
        <f>C78-D78</f>
        <v/>
      </c>
      <c r="F78" s="98">
        <f>IFERROR(D78/MAX(1,C78),0)</f>
        <v/>
      </c>
      <c r="G78" s="31" t="inlineStr"/>
      <c r="H78" s="31" t="inlineStr"/>
      <c r="I78" s="31" t="inlineStr"/>
      <c r="J78" s="31" t="inlineStr"/>
      <c r="K78" s="31" t="inlineStr"/>
      <c r="L78" s="31" t="inlineStr"/>
    </row>
    <row r="79" ht="20" customHeight="1">
      <c r="A79" s="168" t="n">
        <v>9</v>
      </c>
      <c r="B79" s="94" t="inlineStr">
        <is>
          <t>Сентябрь</t>
        </is>
      </c>
      <c r="C79" s="52">
        <f>SUMIFS(tblБаза[Сумма],tblБаза[Тип],"Долг",tblБаза[Дата],"&gt;="&amp;DATE($B$3,9,1),tblБаза[Дата],"&lt;="&amp;EOMONTH(DATE($B$3,9,1),0))</f>
        <v/>
      </c>
      <c r="D79" s="52">
        <f>SUMIFS(tblБаза[Сумма],tblБаза[Категория],"Оплата ТП",tblБаза[Дата],"&gt;="&amp;DATE($B$3,9,1),tblБаза[Дата],"&lt;="&amp;EOMONTH(DATE($B$3,9,1),0))</f>
        <v/>
      </c>
      <c r="E79" s="95">
        <f>C79-D79</f>
        <v/>
      </c>
      <c r="F79" s="96">
        <f>IFERROR(D79/MAX(1,C79),0)</f>
        <v/>
      </c>
      <c r="G79" s="34" t="inlineStr"/>
      <c r="H79" s="34" t="inlineStr"/>
      <c r="I79" s="34" t="inlineStr"/>
      <c r="J79" s="34" t="inlineStr"/>
      <c r="K79" s="34" t="inlineStr"/>
      <c r="L79" s="34" t="inlineStr"/>
    </row>
    <row r="80" ht="20" customHeight="1">
      <c r="A80" s="169" t="n">
        <v>10</v>
      </c>
      <c r="B80" s="72" t="inlineStr">
        <is>
          <t>Октябрь</t>
        </is>
      </c>
      <c r="C80" s="57">
        <f>SUMIFS(tblБаза[Сумма],tblБаза[Тип],"Долг",tblБаза[Дата],"&gt;="&amp;DATE($B$3,10,1),tblБаза[Дата],"&lt;="&amp;EOMONTH(DATE($B$3,10,1),0))</f>
        <v/>
      </c>
      <c r="D80" s="57">
        <f>SUMIFS(tblБаза[Сумма],tblБаза[Категория],"Оплата ТП",tblБаза[Дата],"&gt;="&amp;DATE($B$3,10,1),tblБаза[Дата],"&lt;="&amp;EOMONTH(DATE($B$3,10,1),0))</f>
        <v/>
      </c>
      <c r="E80" s="97">
        <f>C80-D80</f>
        <v/>
      </c>
      <c r="F80" s="98">
        <f>IFERROR(D80/MAX(1,C80),0)</f>
        <v/>
      </c>
      <c r="G80" s="31" t="inlineStr"/>
      <c r="H80" s="31" t="inlineStr"/>
      <c r="I80" s="31" t="inlineStr"/>
      <c r="J80" s="31" t="inlineStr"/>
      <c r="K80" s="31" t="inlineStr"/>
      <c r="L80" s="31" t="inlineStr"/>
    </row>
    <row r="81" ht="20" customHeight="1">
      <c r="A81" s="168" t="n">
        <v>11</v>
      </c>
      <c r="B81" s="94" t="inlineStr">
        <is>
          <t>Ноябрь</t>
        </is>
      </c>
      <c r="C81" s="52">
        <f>SUMIFS(tblБаза[Сумма],tblБаза[Тип],"Долг",tblБаза[Дата],"&gt;="&amp;DATE($B$3,11,1),tblБаза[Дата],"&lt;="&amp;EOMONTH(DATE($B$3,11,1),0))</f>
        <v/>
      </c>
      <c r="D81" s="52">
        <f>SUMIFS(tblБаза[Сумма],tblБаза[Категория],"Оплата ТП",tblБаза[Дата],"&gt;="&amp;DATE($B$3,11,1),tblБаза[Дата],"&lt;="&amp;EOMONTH(DATE($B$3,11,1),0))</f>
        <v/>
      </c>
      <c r="E81" s="95">
        <f>C81-D81</f>
        <v/>
      </c>
      <c r="F81" s="96">
        <f>IFERROR(D81/MAX(1,C81),0)</f>
        <v/>
      </c>
      <c r="G81" s="34" t="inlineStr"/>
      <c r="H81" s="34" t="inlineStr"/>
      <c r="I81" s="34" t="inlineStr"/>
      <c r="J81" s="34" t="inlineStr"/>
      <c r="K81" s="34" t="inlineStr"/>
      <c r="L81" s="34" t="inlineStr"/>
    </row>
    <row r="82" ht="20" customHeight="1">
      <c r="A82" s="169" t="n">
        <v>12</v>
      </c>
      <c r="B82" s="72" t="inlineStr">
        <is>
          <t>Декабрь</t>
        </is>
      </c>
      <c r="C82" s="57">
        <f>SUMIFS(tblБаза[Сумма],tblБаза[Тип],"Долг",tblБаза[Дата],"&gt;="&amp;DATE($B$3,12,1),tblБаза[Дата],"&lt;="&amp;EOMONTH(DATE($B$3,12,1),0))</f>
        <v/>
      </c>
      <c r="D82" s="57">
        <f>SUMIFS(tblБаза[Сумма],tblБаза[Категория],"Оплата ТП",tblБаза[Дата],"&gt;="&amp;DATE($B$3,12,1),tblБаза[Дата],"&lt;="&amp;EOMONTH(DATE($B$3,12,1),0))</f>
        <v/>
      </c>
      <c r="E82" s="97">
        <f>C82-D82</f>
        <v/>
      </c>
      <c r="F82" s="98">
        <f>IFERROR(D82/MAX(1,C82),0)</f>
        <v/>
      </c>
      <c r="G82" s="31" t="inlineStr"/>
      <c r="H82" s="31" t="inlineStr"/>
      <c r="I82" s="31" t="inlineStr"/>
      <c r="J82" s="31" t="inlineStr"/>
      <c r="K82" s="31" t="inlineStr"/>
      <c r="L82" s="31" t="inlineStr"/>
    </row>
    <row r="83" ht="22" customHeight="1">
      <c r="A83" s="27" t="inlineStr"/>
      <c r="B83" s="25" t="inlineStr">
        <is>
          <t>ИТОГО</t>
        </is>
      </c>
      <c r="C83" s="170">
        <f>SUM(C71:C82)</f>
        <v/>
      </c>
      <c r="D83" s="170">
        <f>SUM(D71:D82)</f>
        <v/>
      </c>
      <c r="E83" s="170">
        <f>SUM(E71:E82)</f>
        <v/>
      </c>
      <c r="F83" s="171">
        <f>IFERROR(SUM(D71:D82)/MAX(1,SUM(C71:C82)),0)</f>
        <v/>
      </c>
      <c r="G83" s="27" t="inlineStr"/>
      <c r="H83" s="27" t="inlineStr"/>
      <c r="I83" s="27" t="inlineStr"/>
      <c r="J83" s="27" t="inlineStr"/>
      <c r="K83" s="27" t="inlineStr"/>
      <c r="L83" s="27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2026-05-27T10:05:28Z</dcterms:created>
  <dcterms:modified xsi:type="dcterms:W3CDTF">2026-05-27T10:05:33Z</dcterms:modified>
</cp:coreProperties>
</file>