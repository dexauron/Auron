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_Смен_24_7" sheetId="1" state="visible" r:id="rId1"/>
    <sheet xmlns:r="http://schemas.openxmlformats.org/officeDocument/2006/relationships" name="Накладные_и_Выплаты" sheetId="2" state="visible" r:id="rId2"/>
    <sheet xmlns:r="http://schemas.openxmlformats.org/officeDocument/2006/relationships" name="Сводный_Ито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#,##0 ₽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9"/>
      <sz val="14"/>
    </font>
    <font>
      <name val="Segoe UI"/>
      <b val="1"/>
      <color rgb="00595959"/>
      <sz val="9.5"/>
    </font>
    <font>
      <name val="Segoe UI"/>
      <b val="1"/>
      <color rgb="001F4E79"/>
      <sz val="18"/>
    </font>
    <font>
      <name val="Segoe UI"/>
      <b val="1"/>
      <color rgb="002E5B37"/>
      <sz val="9"/>
    </font>
    <font>
      <name val="Segoe U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EAEEF3"/>
        <bgColor rgb="00EAEEF3"/>
      </patternFill>
    </fill>
    <fill>
      <patternFill patternType="solid">
        <fgColor rgb="002E5B37"/>
        <bgColor rgb="002E5B37"/>
      </patternFill>
    </fill>
    <fill>
      <patternFill patternType="solid">
        <fgColor rgb="00F2F4F7"/>
        <bgColor rgb="00F2F4F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medium">
        <color rgb="001F4E79"/>
      </top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1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0" fillId="0" borderId="3" pivotButton="0" quotePrefix="0" xfId="0"/>
    <xf numFmtId="165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0" pivotButton="0" quotePrefix="0" xfId="0"/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9" customWidth="1" min="6" max="6"/>
    <col width="28" customWidth="1" min="7" max="7"/>
    <col width="23" customWidth="1" min="8" max="8"/>
    <col width="24" customWidth="1" min="9" max="9"/>
    <col width="23" customWidth="1" min="10" max="10"/>
    <col width="34" customWidth="1" min="11" max="11"/>
    <col width="21" customWidth="1" min="12" max="12"/>
    <col width="26" customWidth="1" min="13" max="13"/>
    <col width="21" customWidth="1" min="14" max="14"/>
  </cols>
  <sheetData>
    <row r="1" ht="30" customHeight="1">
      <c r="A1" s="1" t="inlineStr">
        <is>
          <t>Дата</t>
        </is>
      </c>
      <c r="B1" s="1" t="inlineStr">
        <is>
          <t>Смена</t>
        </is>
      </c>
      <c r="C1" s="1" t="inlineStr">
        <is>
          <t>Время смены</t>
        </is>
      </c>
      <c r="D1" s="1" t="inlineStr">
        <is>
          <t>Кассир</t>
        </is>
      </c>
      <c r="E1" s="1" t="inlineStr">
        <is>
          <t>Касса №</t>
        </is>
      </c>
      <c r="F1" s="1" t="inlineStr">
        <is>
          <t>Остаток утро, ₽</t>
        </is>
      </c>
      <c r="G1" s="1" t="inlineStr">
        <is>
          <t>Выручка Z-отчет (нал), ₽</t>
        </is>
      </c>
      <c r="H1" s="1" t="inlineStr">
        <is>
          <t>Выплаты из кассы, ₽</t>
        </is>
      </c>
      <c r="I1" s="1" t="inlineStr">
        <is>
          <t>Расчетный остаток, ₽</t>
        </is>
      </c>
      <c r="J1" s="1" t="inlineStr">
        <is>
          <t>Факт нал в кассе, ₽</t>
        </is>
      </c>
      <c r="K1" s="1" t="inlineStr">
        <is>
          <t>Разница (Недостача/Излишек), ₽</t>
        </is>
      </c>
      <c r="L1" s="1" t="inlineStr">
        <is>
          <t>Терминал / СБП, ₽</t>
        </is>
      </c>
      <c r="M1" s="1" t="inlineStr">
        <is>
          <t>Общая выручка смены, ₽</t>
        </is>
      </c>
      <c r="N1" s="1" t="inlineStr">
        <is>
          <t>Статус сдачи</t>
        </is>
      </c>
    </row>
    <row r="2" ht="22" customHeight="1">
      <c r="A2" s="2" t="inlineStr">
        <is>
          <t>2026-08-18</t>
        </is>
      </c>
      <c r="B2" s="2" t="inlineStr">
        <is>
          <t>Дневная</t>
        </is>
      </c>
      <c r="C2" s="2" t="inlineStr">
        <is>
          <t>09:00 – 21:00</t>
        </is>
      </c>
      <c r="D2" s="3" t="inlineStr">
        <is>
          <t>Иванова Анна</t>
        </is>
      </c>
      <c r="E2" s="2" t="inlineStr">
        <is>
          <t>Касса №1</t>
        </is>
      </c>
      <c r="F2" s="4" t="n">
        <v>10000</v>
      </c>
      <c r="G2" s="4" t="n">
        <v>45000</v>
      </c>
      <c r="H2" s="4" t="n">
        <v>12500</v>
      </c>
      <c r="I2" s="4">
        <f>F2+G2-H2</f>
        <v/>
      </c>
      <c r="J2" s="4" t="n">
        <v>42500</v>
      </c>
      <c r="K2" s="5">
        <f>J2-I2</f>
        <v/>
      </c>
      <c r="L2" s="4" t="n">
        <v>38000</v>
      </c>
      <c r="M2" s="4">
        <f>G2+L2</f>
        <v/>
      </c>
      <c r="N2" s="3" t="inlineStr">
        <is>
          <t>🟢 Сдано точно</t>
        </is>
      </c>
    </row>
    <row r="3" ht="22" customHeight="1">
      <c r="A3" s="6" t="inlineStr">
        <is>
          <t>2026-08-18</t>
        </is>
      </c>
      <c r="B3" s="6" t="inlineStr">
        <is>
          <t>Ночная</t>
        </is>
      </c>
      <c r="C3" s="6" t="inlineStr">
        <is>
          <t>21:00 – 09:00</t>
        </is>
      </c>
      <c r="D3" s="7" t="inlineStr">
        <is>
          <t>Смирнов Руслан</t>
        </is>
      </c>
      <c r="E3" s="6" t="inlineStr">
        <is>
          <t>Касса №1</t>
        </is>
      </c>
      <c r="F3" s="8" t="n">
        <v>10000</v>
      </c>
      <c r="G3" s="8" t="n">
        <v>32000</v>
      </c>
      <c r="H3" s="8" t="n">
        <v>4500</v>
      </c>
      <c r="I3" s="8">
        <f>F3+G3-H3</f>
        <v/>
      </c>
      <c r="J3" s="8" t="n">
        <v>37500</v>
      </c>
      <c r="K3" s="9">
        <f>J3-I3</f>
        <v/>
      </c>
      <c r="L3" s="8" t="n">
        <v>24000</v>
      </c>
      <c r="M3" s="8">
        <f>G3+L3</f>
        <v/>
      </c>
      <c r="N3" s="7" t="inlineStr">
        <is>
          <t>🟢 Сдано точно</t>
        </is>
      </c>
    </row>
    <row r="4" ht="22" customHeight="1">
      <c r="A4" s="2" t="inlineStr">
        <is>
          <t>2026-08-19</t>
        </is>
      </c>
      <c r="B4" s="2" t="inlineStr">
        <is>
          <t>Дневная</t>
        </is>
      </c>
      <c r="C4" s="2" t="inlineStr">
        <is>
          <t>09:00 – 21:00</t>
        </is>
      </c>
      <c r="D4" s="3" t="inlineStr">
        <is>
          <t>Петрова Елена</t>
        </is>
      </c>
      <c r="E4" s="2" t="inlineStr">
        <is>
          <t>Касса №1</t>
        </is>
      </c>
      <c r="F4" s="4" t="n">
        <v>10000</v>
      </c>
      <c r="G4" s="4" t="n">
        <v>48000</v>
      </c>
      <c r="H4" s="4" t="n">
        <v>18000</v>
      </c>
      <c r="I4" s="4">
        <f>F4+G4-H4</f>
        <v/>
      </c>
      <c r="J4" s="4" t="n">
        <v>39800</v>
      </c>
      <c r="K4" s="5">
        <f>J4-I4</f>
        <v/>
      </c>
      <c r="L4" s="4" t="n">
        <v>41000</v>
      </c>
      <c r="M4" s="4">
        <f>G4+L4</f>
        <v/>
      </c>
      <c r="N4" s="3" t="inlineStr">
        <is>
          <t>🔴 Недостача 200 ₽</t>
        </is>
      </c>
    </row>
    <row r="5" ht="22" customHeight="1">
      <c r="A5" s="6" t="inlineStr">
        <is>
          <t>2026-08-19</t>
        </is>
      </c>
      <c r="B5" s="6" t="inlineStr">
        <is>
          <t>Ночная</t>
        </is>
      </c>
      <c r="C5" s="6" t="inlineStr">
        <is>
          <t>21:00 – 09:00</t>
        </is>
      </c>
      <c r="D5" s="7" t="inlineStr">
        <is>
          <t>Ахмадов Мансур</t>
        </is>
      </c>
      <c r="E5" s="6" t="inlineStr">
        <is>
          <t>Касса №1</t>
        </is>
      </c>
      <c r="F5" s="8" t="n">
        <v>10000</v>
      </c>
      <c r="G5" s="8" t="n">
        <v>35000</v>
      </c>
      <c r="H5" s="8" t="n">
        <v>6000</v>
      </c>
      <c r="I5" s="8">
        <f>F5+G5-H5</f>
        <v/>
      </c>
      <c r="J5" s="8" t="n">
        <v>39150</v>
      </c>
      <c r="K5" s="9">
        <f>J5-I5</f>
        <v/>
      </c>
      <c r="L5" s="8" t="n">
        <v>29000</v>
      </c>
      <c r="M5" s="8">
        <f>G5+L5</f>
        <v/>
      </c>
      <c r="N5" s="7" t="inlineStr">
        <is>
          <t>🟡 Излишек 150 ₽</t>
        </is>
      </c>
    </row>
    <row r="6" ht="22" customHeight="1">
      <c r="A6" s="2" t="inlineStr">
        <is>
          <t>2026-08-20</t>
        </is>
      </c>
      <c r="B6" s="2" t="inlineStr">
        <is>
          <t>Дневная</t>
        </is>
      </c>
      <c r="C6" s="2" t="inlineStr">
        <is>
          <t>09:00 – 21:00</t>
        </is>
      </c>
      <c r="D6" s="3" t="inlineStr">
        <is>
          <t>Иванова Анна</t>
        </is>
      </c>
      <c r="E6" s="2" t="inlineStr">
        <is>
          <t>Касса №1</t>
        </is>
      </c>
      <c r="F6" s="4" t="n">
        <v>10000</v>
      </c>
      <c r="G6" s="4" t="n">
        <v>51000</v>
      </c>
      <c r="H6" s="4" t="n">
        <v>15000</v>
      </c>
      <c r="I6" s="4">
        <f>F6+G6-H6</f>
        <v/>
      </c>
      <c r="J6" s="4" t="n">
        <v>46000</v>
      </c>
      <c r="K6" s="5">
        <f>J6-I6</f>
        <v/>
      </c>
      <c r="L6" s="4" t="n">
        <v>44000</v>
      </c>
      <c r="M6" s="4">
        <f>G6+L6</f>
        <v/>
      </c>
      <c r="N6" s="3" t="inlineStr">
        <is>
          <t>🟢 Сдано точно</t>
        </is>
      </c>
    </row>
    <row r="7" ht="24" customHeight="1">
      <c r="A7" s="10" t="inlineStr">
        <is>
          <t>ИТОГО</t>
        </is>
      </c>
      <c r="B7" s="10" t="n"/>
      <c r="C7" s="10" t="n"/>
      <c r="D7" s="10" t="n"/>
      <c r="E7" s="10" t="n"/>
      <c r="F7" s="10" t="n"/>
      <c r="G7" s="11">
        <f>SUM(G2:G6)</f>
        <v/>
      </c>
      <c r="H7" s="11">
        <f>SUM(H2:H6)</f>
        <v/>
      </c>
      <c r="I7" s="11">
        <f>SUM(I2:I6)</f>
        <v/>
      </c>
      <c r="J7" s="11">
        <f>SUM(J2:J6)</f>
        <v/>
      </c>
      <c r="K7" s="12">
        <f>SUM(K2:K6)</f>
        <v/>
      </c>
      <c r="L7" s="11">
        <f>SUM(L2:L6)</f>
        <v/>
      </c>
      <c r="M7" s="11">
        <f>SUM(M2:M6)</f>
        <v/>
      </c>
      <c r="N7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7" customWidth="1" min="4" max="4"/>
    <col width="22" customWidth="1" min="5" max="5"/>
    <col width="27" customWidth="1" min="6" max="6"/>
    <col width="33" customWidth="1" min="7" max="7"/>
    <col width="21" customWidth="1" min="8" max="8"/>
    <col width="25" customWidth="1" min="9" max="9"/>
    <col width="21" customWidth="1" min="10" max="10"/>
    <col width="23" customWidth="1" min="11" max="11"/>
  </cols>
  <sheetData>
    <row r="1" ht="30" customHeight="1">
      <c r="A1" s="13" t="inlineStr">
        <is>
          <t>Дата</t>
        </is>
      </c>
      <c r="B1" s="13" t="inlineStr">
        <is>
          <t>№ Накладной</t>
        </is>
      </c>
      <c r="C1" s="13" t="inlineStr">
        <is>
          <t>Поставщик</t>
        </is>
      </c>
      <c r="D1" s="13" t="inlineStr">
        <is>
          <t>Товар / Категория</t>
        </is>
      </c>
      <c r="E1" s="13" t="inlineStr">
        <is>
          <t>Сумма накладной, ₽</t>
        </is>
      </c>
      <c r="F1" s="13" t="inlineStr">
        <is>
          <t>Оплачено сразу налом, ₽</t>
        </is>
      </c>
      <c r="G1" s="13" t="inlineStr">
        <is>
          <t>Оплачено в погашение долга, ₽</t>
        </is>
      </c>
      <c r="H1" s="13" t="inlineStr">
        <is>
          <t>Остаток в долг, ₽</t>
        </is>
      </c>
      <c r="I1" s="13" t="inlineStr">
        <is>
          <t>Смена приемки</t>
        </is>
      </c>
      <c r="J1" s="13" t="inlineStr">
        <is>
          <t>Кассир / Приемщик</t>
        </is>
      </c>
      <c r="K1" s="13" t="inlineStr">
        <is>
          <t>Статус оплаты</t>
        </is>
      </c>
    </row>
    <row r="2" ht="22" customHeight="1">
      <c r="A2" s="2" t="inlineStr">
        <is>
          <t>2026-08-18</t>
        </is>
      </c>
      <c r="B2" s="2" t="inlineStr">
        <is>
          <t>НАКЛ-412</t>
        </is>
      </c>
      <c r="C2" s="3" t="inlineStr">
        <is>
          <t>МолКомбинат №1</t>
        </is>
      </c>
      <c r="D2" s="3" t="inlineStr">
        <is>
          <t>Молочная продукция</t>
        </is>
      </c>
      <c r="E2" s="4" t="n">
        <v>28000</v>
      </c>
      <c r="F2" s="4" t="n">
        <v>12500</v>
      </c>
      <c r="G2" s="4" t="n">
        <v>0</v>
      </c>
      <c r="H2" s="4">
        <f>MAX(0, E2-F2)</f>
        <v/>
      </c>
      <c r="I2" s="2" t="inlineStr">
        <is>
          <t>Дневная (09:00-21:00)</t>
        </is>
      </c>
      <c r="J2" s="3" t="inlineStr">
        <is>
          <t>Иванова Анна</t>
        </is>
      </c>
      <c r="K2" s="3" t="inlineStr">
        <is>
          <t>🟡 Частично оплачено</t>
        </is>
      </c>
    </row>
    <row r="3" ht="22" customHeight="1">
      <c r="A3" s="6" t="inlineStr">
        <is>
          <t>2026-08-18</t>
        </is>
      </c>
      <c r="B3" s="6" t="inlineStr">
        <is>
          <t>НАКЛ-109</t>
        </is>
      </c>
      <c r="C3" s="7" t="inlineStr">
        <is>
          <t>Пекарня Колос</t>
        </is>
      </c>
      <c r="D3" s="7" t="inlineStr">
        <is>
          <t>Хлеб и выпечка</t>
        </is>
      </c>
      <c r="E3" s="8" t="n">
        <v>4500</v>
      </c>
      <c r="F3" s="8" t="n">
        <v>4500</v>
      </c>
      <c r="G3" s="8" t="n">
        <v>0</v>
      </c>
      <c r="H3" s="8">
        <f>MAX(0, E3-F3)</f>
        <v/>
      </c>
      <c r="I3" s="6" t="inlineStr">
        <is>
          <t>Ночная (21:00-09:00)</t>
        </is>
      </c>
      <c r="J3" s="7" t="inlineStr">
        <is>
          <t>Смирнов Руслан</t>
        </is>
      </c>
      <c r="K3" s="7" t="inlineStr">
        <is>
          <t>🟢 Оплачено налом</t>
        </is>
      </c>
    </row>
    <row r="4" ht="22" customHeight="1">
      <c r="A4" s="2" t="inlineStr">
        <is>
          <t>2026-08-19</t>
        </is>
      </c>
      <c r="B4" s="2" t="inlineStr">
        <is>
          <t>НАКЛ-882</t>
        </is>
      </c>
      <c r="C4" s="3" t="inlineStr">
        <is>
          <t>АгроФрукт</t>
        </is>
      </c>
      <c r="D4" s="3" t="inlineStr">
        <is>
          <t>Овощи и фрукты</t>
        </is>
      </c>
      <c r="E4" s="4" t="n">
        <v>35000</v>
      </c>
      <c r="F4" s="4" t="n">
        <v>0</v>
      </c>
      <c r="G4" s="4" t="n">
        <v>0</v>
      </c>
      <c r="H4" s="4">
        <f>MAX(0, E4-F4)</f>
        <v/>
      </c>
      <c r="I4" s="2" t="inlineStr">
        <is>
          <t>Дневная (09:00-21:00)</t>
        </is>
      </c>
      <c r="J4" s="3" t="inlineStr">
        <is>
          <t>Петрова Елена</t>
        </is>
      </c>
      <c r="K4" s="3" t="inlineStr">
        <is>
          <t>🔴 В долг 100%</t>
        </is>
      </c>
    </row>
    <row r="5" ht="22" customHeight="1">
      <c r="A5" s="6" t="inlineStr">
        <is>
          <t>2026-08-19</t>
        </is>
      </c>
      <c r="B5" s="6" t="inlineStr">
        <is>
          <t>НАКЛ-305</t>
        </is>
      </c>
      <c r="C5" s="7" t="inlineStr">
        <is>
          <t>Птицефабрика Север</t>
        </is>
      </c>
      <c r="D5" s="7" t="inlineStr">
        <is>
          <t>Мясо и птица</t>
        </is>
      </c>
      <c r="E5" s="8" t="n">
        <v>42000</v>
      </c>
      <c r="F5" s="8" t="n">
        <v>18000</v>
      </c>
      <c r="G5" s="8" t="n">
        <v>0</v>
      </c>
      <c r="H5" s="8">
        <f>MAX(0, E5-F5)</f>
        <v/>
      </c>
      <c r="I5" s="6" t="inlineStr">
        <is>
          <t>Дневная (09:00-21:00)</t>
        </is>
      </c>
      <c r="J5" s="7" t="inlineStr">
        <is>
          <t>Петрова Елена</t>
        </is>
      </c>
      <c r="K5" s="7" t="inlineStr">
        <is>
          <t>🟡 Частично оплачено</t>
        </is>
      </c>
    </row>
    <row r="6" ht="22" customHeight="1">
      <c r="A6" s="2" t="inlineStr">
        <is>
          <t>2026-08-19</t>
        </is>
      </c>
      <c r="B6" s="2" t="inlineStr">
        <is>
          <t>ДОЛГ-412</t>
        </is>
      </c>
      <c r="C6" s="3" t="inlineStr">
        <is>
          <t>МолКомбинат №1</t>
        </is>
      </c>
      <c r="D6" s="3" t="inlineStr">
        <is>
          <t>Погашение старого долга</t>
        </is>
      </c>
      <c r="E6" s="4" t="n">
        <v>0</v>
      </c>
      <c r="F6" s="4" t="n">
        <v>0</v>
      </c>
      <c r="G6" s="4" t="n">
        <v>15500</v>
      </c>
      <c r="H6" s="4">
        <f>MAX(0, E6-F6)</f>
        <v/>
      </c>
      <c r="I6" s="2" t="inlineStr">
        <is>
          <t>Ночная (21:00-09:00)</t>
        </is>
      </c>
      <c r="J6" s="3" t="inlineStr">
        <is>
          <t>Ахмадов Мансур</t>
        </is>
      </c>
      <c r="K6" s="3" t="inlineStr">
        <is>
          <t>🟢 Долг погашен</t>
        </is>
      </c>
    </row>
    <row r="7" ht="22" customHeight="1">
      <c r="A7" s="6" t="inlineStr">
        <is>
          <t>2026-08-20</t>
        </is>
      </c>
      <c r="B7" s="6" t="inlineStr">
        <is>
          <t>НАКЛ-771</t>
        </is>
      </c>
      <c r="C7" s="7" t="inlineStr">
        <is>
          <t>ПродСнаб</t>
        </is>
      </c>
      <c r="D7" s="7" t="inlineStr">
        <is>
          <t>Бакалея</t>
        </is>
      </c>
      <c r="E7" s="8" t="n">
        <v>22000</v>
      </c>
      <c r="F7" s="8" t="n">
        <v>15000</v>
      </c>
      <c r="G7" s="8" t="n">
        <v>0</v>
      </c>
      <c r="H7" s="8">
        <f>MAX(0, E7-F7)</f>
        <v/>
      </c>
      <c r="I7" s="6" t="inlineStr">
        <is>
          <t>Дневная (09:00-21:00)</t>
        </is>
      </c>
      <c r="J7" s="7" t="inlineStr">
        <is>
          <t>Иванова Анна</t>
        </is>
      </c>
      <c r="K7" s="7" t="inlineStr">
        <is>
          <t>🟡 Частично оплачено</t>
        </is>
      </c>
    </row>
    <row r="8" ht="24" customHeight="1">
      <c r="A8" s="10" t="inlineStr">
        <is>
          <t>ИТОГО</t>
        </is>
      </c>
      <c r="B8" s="10" t="n"/>
      <c r="C8" s="10" t="n"/>
      <c r="D8" s="10" t="n"/>
      <c r="E8" s="11">
        <f>SUM(E2:E7)</f>
        <v/>
      </c>
      <c r="F8" s="11">
        <f>SUM(F2:F7)</f>
        <v/>
      </c>
      <c r="G8" s="11">
        <f>SUM(G2:G7)</f>
        <v/>
      </c>
      <c r="H8" s="11">
        <f>SUM(H2:H7)</f>
        <v/>
      </c>
      <c r="I8" s="10" t="n"/>
      <c r="J8" s="10" t="n"/>
      <c r="K8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2" customWidth="1" min="4" max="4"/>
    <col width="24" customWidth="1" min="5" max="5"/>
    <col width="24" customWidth="1" min="6" max="6"/>
    <col width="22" customWidth="1" min="7" max="7"/>
    <col width="22" customWidth="1" min="8" max="8"/>
    <col width="15" customWidth="1" min="9" max="9"/>
    <col width="15" customWidth="1" min="10" max="10"/>
  </cols>
  <sheetData>
    <row r="1" ht="32" customHeight="1">
      <c r="B1" s="14" t="inlineStr">
        <is>
          <t>СВОДНЫЙ ОТЧЕТ: КАССОВЫЕ СМЕНЫ 24/7 (09:00-21:00 / 21:00-09:00) И ДОЛГИ</t>
        </is>
      </c>
    </row>
    <row r="2"/>
    <row r="3" ht="18" customHeight="1">
      <c r="B3" s="15" t="inlineStr">
        <is>
          <t>ВЫРУЧКА Z-ОТЧЕТ (НАЛ)</t>
        </is>
      </c>
      <c r="C3" s="16" t="n"/>
      <c r="D3" s="15" t="inlineStr">
        <is>
          <t>ВЫПЛАТЫ ИЗ КАССЫ ВСЕГО</t>
        </is>
      </c>
      <c r="E3" s="16" t="n"/>
      <c r="F3" s="15" t="inlineStr">
        <is>
          <t>ОПЛАЧЕНО СТАРЫХ ДОЛГОВ</t>
        </is>
      </c>
      <c r="G3" s="16" t="n"/>
      <c r="H3" s="15" t="inlineStr">
        <is>
          <t>ОСТАТОК В ДОЛГ ПОСТАВЩИКАМ</t>
        </is>
      </c>
      <c r="I3" s="16" t="n"/>
    </row>
    <row r="4" ht="28" customHeight="1">
      <c r="B4" s="17">
        <f>SUM(Журнал_Смен_24_7!G2:G6)</f>
        <v/>
      </c>
      <c r="C4" s="18" t="n"/>
      <c r="D4" s="17">
        <f>SUM(Журнал_Смен_24_7!H2:H6)</f>
        <v/>
      </c>
      <c r="E4" s="18" t="n"/>
      <c r="F4" s="17">
        <f>SUM(Накладные_и_Выплаты!G2:G7)</f>
        <v/>
      </c>
      <c r="G4" s="18" t="n"/>
      <c r="H4" s="17">
        <f>SUM(Накладные_и_Выплаты!H2:H7)</f>
        <v/>
      </c>
      <c r="I4" s="18" t="n"/>
    </row>
    <row r="5" ht="18" customHeight="1">
      <c r="B5" s="19" t="inlineStr">
        <is>
          <t>Дневные + Ночные смены</t>
        </is>
      </c>
      <c r="C5" s="20" t="n"/>
      <c r="D5" s="19" t="inlineStr">
        <is>
          <t>Накладные и расходы</t>
        </is>
      </c>
      <c r="E5" s="20" t="n"/>
      <c r="F5" s="19" t="inlineStr">
        <is>
          <t>Погашение задолженностей</t>
        </is>
      </c>
      <c r="G5" s="20" t="n"/>
      <c r="H5" s="19" t="inlineStr">
        <is>
          <t>Суммарный долг магазина</t>
        </is>
      </c>
      <c r="I5" s="20" t="n"/>
    </row>
    <row r="6"/>
    <row r="7">
      <c r="B7" s="21" t="inlineStr">
        <is>
          <t>Кассовая дисциплина по кассирам (09:00-21:00 / 21:00-09:00)</t>
        </is>
      </c>
    </row>
    <row r="8" ht="24" customHeight="1">
      <c r="B8" s="1" t="inlineStr">
        <is>
          <t>Кассир</t>
        </is>
      </c>
      <c r="C8" s="1" t="inlineStr">
        <is>
          <t>Смен отработано</t>
        </is>
      </c>
      <c r="D8" s="1" t="inlineStr">
        <is>
          <t>Выручка нал по Z, ₽</t>
        </is>
      </c>
      <c r="E8" s="1" t="inlineStr">
        <is>
          <t>Выплаты из кассы, ₽</t>
        </is>
      </c>
      <c r="F8" s="1" t="inlineStr">
        <is>
          <t>Сдано фактом нал, ₽</t>
        </is>
      </c>
      <c r="G8" s="1" t="inlineStr">
        <is>
          <t>Итого расхождение, ₽</t>
        </is>
      </c>
      <c r="H8" s="1" t="inlineStr">
        <is>
          <t>Статус сдачи</t>
        </is>
      </c>
    </row>
    <row r="9" ht="20" customHeight="1">
      <c r="B9" s="7" t="inlineStr">
        <is>
          <t>Иванова Анна</t>
        </is>
      </c>
      <c r="C9" s="6">
        <f>COUNTIF(Журнал_Смен_24_7!$D$2:$D$6, B9)</f>
        <v/>
      </c>
      <c r="D9" s="8">
        <f>SUMIF(Журнал_Смен_24_7!$D$2:$D$6, B9, Журнал_Смен_24_7!$G$2:$G$6)</f>
        <v/>
      </c>
      <c r="E9" s="8">
        <f>SUMIF(Журнал_Смен_24_7!$D$2:$D$6, B9, Журнал_Смен_24_7!$H$2:$H$6)</f>
        <v/>
      </c>
      <c r="F9" s="8">
        <f>SUMIF(Журнал_Смен_24_7!$D$2:$D$6, B9, Журнал_Смен_24_7!$J$2:$J$6)</f>
        <v/>
      </c>
      <c r="G9" s="9">
        <f>SUMIF(Журнал_Смен_24_7!$D$2:$D$6, B9, Журнал_Смен_24_7!$K$2:$K$6)</f>
        <v/>
      </c>
      <c r="H9" s="6">
        <f>IF(G9=0, "🟢 Идеально", IF(G9&gt;0, "🟡 Излишек", "🔴 Недостача"))</f>
        <v/>
      </c>
    </row>
    <row r="10" ht="20" customHeight="1">
      <c r="B10" s="3" t="inlineStr">
        <is>
          <t>Смирнов Руслан</t>
        </is>
      </c>
      <c r="C10" s="2">
        <f>COUNTIF(Журнал_Смен_24_7!$D$2:$D$6, B10)</f>
        <v/>
      </c>
      <c r="D10" s="4">
        <f>SUMIF(Журнал_Смен_24_7!$D$2:$D$6, B10, Журнал_Смен_24_7!$G$2:$G$6)</f>
        <v/>
      </c>
      <c r="E10" s="4">
        <f>SUMIF(Журнал_Смен_24_7!$D$2:$D$6, B10, Журнал_Смен_24_7!$H$2:$H$6)</f>
        <v/>
      </c>
      <c r="F10" s="4">
        <f>SUMIF(Журнал_Смен_24_7!$D$2:$D$6, B10, Журнал_Смен_24_7!$J$2:$J$6)</f>
        <v/>
      </c>
      <c r="G10" s="5">
        <f>SUMIF(Журнал_Смен_24_7!$D$2:$D$6, B10, Журнал_Смен_24_7!$K$2:$K$6)</f>
        <v/>
      </c>
      <c r="H10" s="2">
        <f>IF(G10=0, "🟢 Идеально", IF(G10&gt;0, "🟡 Излишек", "🔴 Недостача"))</f>
        <v/>
      </c>
    </row>
    <row r="11" ht="20" customHeight="1">
      <c r="B11" s="7" t="inlineStr">
        <is>
          <t>Петрова Елена</t>
        </is>
      </c>
      <c r="C11" s="6">
        <f>COUNTIF(Журнал_Смен_24_7!$D$2:$D$6, B11)</f>
        <v/>
      </c>
      <c r="D11" s="8">
        <f>SUMIF(Журнал_Смен_24_7!$D$2:$D$6, B11, Журнал_Смен_24_7!$G$2:$G$6)</f>
        <v/>
      </c>
      <c r="E11" s="8">
        <f>SUMIF(Журнал_Смен_24_7!$D$2:$D$6, B11, Журнал_Смен_24_7!$H$2:$H$6)</f>
        <v/>
      </c>
      <c r="F11" s="8">
        <f>SUMIF(Журнал_Смен_24_7!$D$2:$D$6, B11, Журнал_Смен_24_7!$J$2:$J$6)</f>
        <v/>
      </c>
      <c r="G11" s="9">
        <f>SUMIF(Журнал_Смен_24_7!$D$2:$D$6, B11, Журнал_Смен_24_7!$K$2:$K$6)</f>
        <v/>
      </c>
      <c r="H11" s="6">
        <f>IF(G11=0, "🟢 Идеально", IF(G11&gt;0, "🟡 Излишек", "🔴 Недостача"))</f>
        <v/>
      </c>
    </row>
    <row r="12" ht="20" customHeight="1">
      <c r="B12" s="3" t="inlineStr">
        <is>
          <t>Ахмадов Мансур</t>
        </is>
      </c>
      <c r="C12" s="2">
        <f>COUNTIF(Журнал_Смен_24_7!$D$2:$D$6, B12)</f>
        <v/>
      </c>
      <c r="D12" s="4">
        <f>SUMIF(Журнал_Смен_24_7!$D$2:$D$6, B12, Журнал_Смен_24_7!$G$2:$G$6)</f>
        <v/>
      </c>
      <c r="E12" s="4">
        <f>SUMIF(Журнал_Смен_24_7!$D$2:$D$6, B12, Журнал_Смен_24_7!$H$2:$H$6)</f>
        <v/>
      </c>
      <c r="F12" s="4">
        <f>SUMIF(Журнал_Смен_24_7!$D$2:$D$6, B12, Журнал_Смен_24_7!$J$2:$J$6)</f>
        <v/>
      </c>
      <c r="G12" s="5">
        <f>SUMIF(Журнал_Смен_24_7!$D$2:$D$6, B12, Журнал_Смен_24_7!$K$2:$K$6)</f>
        <v/>
      </c>
      <c r="H12" s="2">
        <f>IF(G12=0, "🟢 Идеально", IF(G12&gt;0, "🟡 Излишек", "🔴 Недостача"))</f>
        <v/>
      </c>
    </row>
    <row r="13" ht="22" customHeight="1">
      <c r="B13" s="10" t="inlineStr">
        <is>
          <t>ИТОГО ПО ВСЕМ СМЕНАМ</t>
        </is>
      </c>
      <c r="C13" s="10">
        <f>SUM(C9:C12)</f>
        <v/>
      </c>
      <c r="D13" s="11">
        <f>SUM(D9:D12)</f>
        <v/>
      </c>
      <c r="E13" s="11">
        <f>SUM(E9:E12)</f>
        <v/>
      </c>
      <c r="F13" s="11">
        <f>SUM(F9:F12)</f>
        <v/>
      </c>
      <c r="G13" s="12">
        <f>SUM(G9:G12)</f>
        <v/>
      </c>
      <c r="H13" s="22">
        <f>IF(G13=0, "🟢 Сходится", IF(G13&gt;0, "🟡 Общий излишек", "🔴 Общая недостача"))</f>
        <v/>
      </c>
    </row>
    <row r="14"/>
    <row r="15">
      <c r="B15" s="21" t="inlineStr">
        <is>
          <t>Сводка взаиморасчетов по поставщикам</t>
        </is>
      </c>
    </row>
    <row r="16" ht="24" customHeight="1">
      <c r="B16" s="13" t="inlineStr">
        <is>
          <t>Поставщик</t>
        </is>
      </c>
      <c r="C16" s="13" t="inlineStr">
        <is>
          <t>Поставлено товара, ₽</t>
        </is>
      </c>
      <c r="D16" s="13" t="inlineStr">
        <is>
          <t>Оплачено сразу налом, ₽</t>
        </is>
      </c>
      <c r="E16" s="13" t="inlineStr">
        <is>
          <t>Погашено старых долгов, ₽</t>
        </is>
      </c>
      <c r="F16" s="13" t="inlineStr">
        <is>
          <t>Текущий долг магазина, ₽</t>
        </is>
      </c>
      <c r="G16" s="13" t="inlineStr">
        <is>
          <t>Статус долга</t>
        </is>
      </c>
    </row>
    <row r="17" ht="20" customHeight="1">
      <c r="B17" s="7" t="inlineStr">
        <is>
          <t>МолКомбинат №1</t>
        </is>
      </c>
      <c r="C17" s="8">
        <f>SUMIF(Накладные_и_Выплаты!$C$2:$C$7, B17, Накладные_и_Выплаты!$E$2:$E$7)</f>
        <v/>
      </c>
      <c r="D17" s="8">
        <f>SUMIF(Накладные_и_Выплаты!$C$2:$C$7, B17, Накладные_и_Выплаты!$F$2:$F$7)</f>
        <v/>
      </c>
      <c r="E17" s="8">
        <f>SUMIF(Накладные_и_Выплаты!$C$2:$C$7, B17, Накладные_и_Выплаты!$G$2:$G$7)</f>
        <v/>
      </c>
      <c r="F17" s="8">
        <f>SUMIF(Накладные_и_Выплаты!$C$2:$C$7, B17, Накладные_и_Выплаты!$H$2:$H$7)</f>
        <v/>
      </c>
      <c r="G17" s="6">
        <f>IF(F17=0, "🟢 Долга нет", "🔴 Есть задолженность")</f>
        <v/>
      </c>
    </row>
    <row r="18" ht="20" customHeight="1">
      <c r="B18" s="3" t="inlineStr">
        <is>
          <t>Пекарня Колос</t>
        </is>
      </c>
      <c r="C18" s="4">
        <f>SUMIF(Накладные_и_Выплаты!$C$2:$C$7, B18, Накладные_и_Выплаты!$E$2:$E$7)</f>
        <v/>
      </c>
      <c r="D18" s="4">
        <f>SUMIF(Накладные_и_Выплаты!$C$2:$C$7, B18, Накладные_и_Выплаты!$F$2:$F$7)</f>
        <v/>
      </c>
      <c r="E18" s="4">
        <f>SUMIF(Накладные_и_Выплаты!$C$2:$C$7, B18, Накладные_и_Выплаты!$G$2:$G$7)</f>
        <v/>
      </c>
      <c r="F18" s="4">
        <f>SUMIF(Накладные_и_Выплаты!$C$2:$C$7, B18, Накладные_и_Выплаты!$H$2:$H$7)</f>
        <v/>
      </c>
      <c r="G18" s="2">
        <f>IF(F18=0, "🟢 Долга нет", "🔴 Есть задолженность")</f>
        <v/>
      </c>
    </row>
    <row r="19" ht="20" customHeight="1">
      <c r="B19" s="7" t="inlineStr">
        <is>
          <t>АгроФрукт</t>
        </is>
      </c>
      <c r="C19" s="8">
        <f>SUMIF(Накладные_и_Выплаты!$C$2:$C$7, B19, Накладные_и_Выплаты!$E$2:$E$7)</f>
        <v/>
      </c>
      <c r="D19" s="8">
        <f>SUMIF(Накладные_и_Выплаты!$C$2:$C$7, B19, Накладные_и_Выплаты!$F$2:$F$7)</f>
        <v/>
      </c>
      <c r="E19" s="8">
        <f>SUMIF(Накладные_и_Выплаты!$C$2:$C$7, B19, Накладные_и_Выплаты!$G$2:$G$7)</f>
        <v/>
      </c>
      <c r="F19" s="8">
        <f>SUMIF(Накладные_и_Выплаты!$C$2:$C$7, B19, Накладные_и_Выплаты!$H$2:$H$7)</f>
        <v/>
      </c>
      <c r="G19" s="6">
        <f>IF(F19=0, "🟢 Долга нет", "🔴 Есть задолженность")</f>
        <v/>
      </c>
    </row>
    <row r="20" ht="20" customHeight="1">
      <c r="B20" s="3" t="inlineStr">
        <is>
          <t>Птицефабрика Север</t>
        </is>
      </c>
      <c r="C20" s="4">
        <f>SUMIF(Накладные_и_Выплаты!$C$2:$C$7, B20, Накладные_и_Выплаты!$E$2:$E$7)</f>
        <v/>
      </c>
      <c r="D20" s="4">
        <f>SUMIF(Накладные_и_Выплаты!$C$2:$C$7, B20, Накладные_и_Выплаты!$F$2:$F$7)</f>
        <v/>
      </c>
      <c r="E20" s="4">
        <f>SUMIF(Накладные_и_Выплаты!$C$2:$C$7, B20, Накладные_и_Выплаты!$G$2:$G$7)</f>
        <v/>
      </c>
      <c r="F20" s="4">
        <f>SUMIF(Накладные_и_Выплаты!$C$2:$C$7, B20, Накладные_и_Выплаты!$H$2:$H$7)</f>
        <v/>
      </c>
      <c r="G20" s="2">
        <f>IF(F20=0, "🟢 Долга нет", "🔴 Есть задолженность")</f>
        <v/>
      </c>
    </row>
    <row r="21" ht="20" customHeight="1">
      <c r="B21" s="7" t="inlineStr">
        <is>
          <t>ПродСнаб</t>
        </is>
      </c>
      <c r="C21" s="8">
        <f>SUMIF(Накладные_и_Выплаты!$C$2:$C$7, B21, Накладные_и_Выплаты!$E$2:$E$7)</f>
        <v/>
      </c>
      <c r="D21" s="8">
        <f>SUMIF(Накладные_и_Выплаты!$C$2:$C$7, B21, Накладные_и_Выплаты!$F$2:$F$7)</f>
        <v/>
      </c>
      <c r="E21" s="8">
        <f>SUMIF(Накладные_и_Выплаты!$C$2:$C$7, B21, Накладные_и_Выплаты!$G$2:$G$7)</f>
        <v/>
      </c>
      <c r="F21" s="8">
        <f>SUMIF(Накладные_и_Выплаты!$C$2:$C$7, B21, Накладные_и_Выплаты!$H$2:$H$7)</f>
        <v/>
      </c>
      <c r="G21" s="6">
        <f>IF(F21=0, "🟢 Долга нет", "🔴 Есть задолженность")</f>
        <v/>
      </c>
    </row>
    <row r="22" ht="22" customHeight="1">
      <c r="B22" s="10" t="inlineStr">
        <is>
          <t>ИТОГО ПО ВСЕМ ПОСТАВЩИКАМ</t>
        </is>
      </c>
      <c r="C22" s="11">
        <f>SUM(C17:C21)</f>
        <v/>
      </c>
      <c r="D22" s="11">
        <f>SUM(D17:D21)</f>
        <v/>
      </c>
      <c r="E22" s="11">
        <f>SUM(E17:E21)</f>
        <v/>
      </c>
      <c r="F22" s="11">
        <f>SUM(F17:F21)</f>
        <v/>
      </c>
      <c r="G22" s="22">
        <f>IF(F22=0, "🟢 Все оплачено", "🔴 Общий долг магазина")</f>
        <v/>
      </c>
    </row>
  </sheetData>
  <mergeCells count="13">
    <mergeCell ref="F3:G3"/>
    <mergeCell ref="F4:G4"/>
    <mergeCell ref="B3:C3"/>
    <mergeCell ref="B5:C5"/>
    <mergeCell ref="F5:G5"/>
    <mergeCell ref="D5:E5"/>
    <mergeCell ref="B1:J1"/>
    <mergeCell ref="D4:E4"/>
    <mergeCell ref="H5:I5"/>
    <mergeCell ref="H4:I4"/>
    <mergeCell ref="D3:E3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2026-08-20T06:50:14Z</dcterms:created>
  <dcterms:modified xmlns:dcterms="http://purl.org/dc/terms/" xmlns:xsi="http://www.w3.org/2001/XMLSchema-instance" xsi:type="dcterms:W3CDTF">2026-08-20T06:50:14Z</dcterms:modified>
</cp:coreProperties>
</file>