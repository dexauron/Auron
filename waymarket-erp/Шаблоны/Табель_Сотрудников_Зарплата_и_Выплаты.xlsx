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ель_Смен_24_7" sheetId="1" state="visible" r:id="rId1"/>
    <sheet xmlns:r="http://schemas.openxmlformats.org/officeDocument/2006/relationships" name="Выплаты_и_Авансы" sheetId="2" state="visible" r:id="rId2"/>
    <sheet xmlns:r="http://schemas.openxmlformats.org/officeDocument/2006/relationships" name="Сводная_Зарплата_ФО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₽"/>
    <numFmt numFmtId="165" formatCode="#,##0 ч"/>
    <numFmt numFmtId="166" formatCode="+#,##0;-#,##0;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9"/>
      <sz val="14"/>
    </font>
    <font>
      <name val="Segoe UI"/>
      <b val="1"/>
      <color rgb="00595959"/>
      <sz val="9.5"/>
    </font>
    <font>
      <name val="Segoe UI"/>
      <b val="1"/>
      <color rgb="001F4E79"/>
      <sz val="18"/>
    </font>
    <font>
      <name val="Segoe UI"/>
      <b val="1"/>
      <color rgb="002E5B37"/>
      <sz val="9"/>
    </font>
    <font>
      <name val="Segoe U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  <fill>
      <patternFill patternType="solid">
        <fgColor rgb="00EAEEF3"/>
        <bgColor rgb="00EAEEF3"/>
      </patternFill>
    </fill>
    <fill>
      <patternFill patternType="solid">
        <fgColor rgb="002E5B37"/>
        <bgColor rgb="002E5B37"/>
      </patternFill>
    </fill>
    <fill>
      <patternFill patternType="solid">
        <fgColor rgb="00F2F4F7"/>
        <bgColor rgb="00F2F4F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medium">
        <color rgb="001F4E79"/>
      </top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0" fontId="1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0" fillId="0" borderId="3" pivotButton="0" quotePrefix="0" xfId="0"/>
    <xf numFmtId="164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165" fontId="6" fillId="6" borderId="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8" fillId="0" borderId="0" pivotButton="0" quotePrefix="0" xfId="0"/>
    <xf numFmtId="166" fontId="2" fillId="3" borderId="1" pivotButton="0" quotePrefix="0" xfId="0"/>
    <xf numFmtId="166" fontId="2" fillId="0" borderId="1" pivotButton="0" quotePrefix="0" xfId="0"/>
    <xf numFmtId="166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7" customWidth="1" min="5" max="5"/>
    <col width="20" customWidth="1" min="6" max="6"/>
    <col width="20" customWidth="1" min="7" max="7"/>
    <col width="25" customWidth="1" min="8" max="8"/>
    <col width="25" customWidth="1" min="9" max="9"/>
    <col width="21" customWidth="1" min="10" max="10"/>
    <col width="34" customWidth="1" min="11" max="11"/>
    <col width="21" customWidth="1" min="12" max="12"/>
  </cols>
  <sheetData>
    <row r="1" ht="28" customHeight="1">
      <c r="A1" s="1" t="inlineStr">
        <is>
          <t>Дата</t>
        </is>
      </c>
      <c r="B1" s="1" t="inlineStr">
        <is>
          <t>ФИО Сотрудника</t>
        </is>
      </c>
      <c r="C1" s="1" t="inlineStr">
        <is>
          <t>Должность</t>
        </is>
      </c>
      <c r="D1" s="1" t="inlineStr">
        <is>
          <t>Смена</t>
        </is>
      </c>
      <c r="E1" s="1" t="inlineStr">
        <is>
          <t>Время работы</t>
        </is>
      </c>
      <c r="F1" s="1" t="inlineStr">
        <is>
          <t>Отработано часов</t>
        </is>
      </c>
      <c r="G1" s="1" t="inlineStr">
        <is>
          <t>Ставка за час, ₽</t>
        </is>
      </c>
      <c r="H1" s="1" t="inlineStr">
        <is>
          <t>Начислено за смену, ₽</t>
        </is>
      </c>
      <c r="I1" s="1" t="inlineStr">
        <is>
          <t>Штрафы / Удержания, ₽</t>
        </is>
      </c>
      <c r="J1" s="1" t="inlineStr">
        <is>
          <t>Премия за план, ₽</t>
        </is>
      </c>
      <c r="K1" s="1" t="inlineStr">
        <is>
          <t>Итого к начислению за смену, ₽</t>
        </is>
      </c>
      <c r="L1" s="1" t="inlineStr">
        <is>
          <t>Статус смены</t>
        </is>
      </c>
    </row>
    <row r="2" ht="22" customHeight="1">
      <c r="A2" s="2" t="inlineStr">
        <is>
          <t>2026-08-18</t>
        </is>
      </c>
      <c r="B2" s="3" t="inlineStr">
        <is>
          <t>Иванова Анна</t>
        </is>
      </c>
      <c r="C2" s="3" t="inlineStr">
        <is>
          <t>Кассир</t>
        </is>
      </c>
      <c r="D2" s="2" t="inlineStr">
        <is>
          <t>Дневная</t>
        </is>
      </c>
      <c r="E2" s="2" t="inlineStr">
        <is>
          <t>09:00 – 21:00</t>
        </is>
      </c>
      <c r="F2" s="2" t="n">
        <v>12</v>
      </c>
      <c r="G2" s="4" t="n">
        <v>200</v>
      </c>
      <c r="H2" s="4">
        <f>F2*G2</f>
        <v/>
      </c>
      <c r="I2" s="4" t="n">
        <v>0</v>
      </c>
      <c r="J2" s="4" t="n">
        <v>300</v>
      </c>
      <c r="K2" s="4">
        <f>H2-I2+J2</f>
        <v/>
      </c>
      <c r="L2" s="3" t="inlineStr">
        <is>
          <t>🟢 Отработана</t>
        </is>
      </c>
    </row>
    <row r="3" ht="22" customHeight="1">
      <c r="A3" s="5" t="inlineStr">
        <is>
          <t>2026-08-18</t>
        </is>
      </c>
      <c r="B3" s="6" t="inlineStr">
        <is>
          <t>Смирнов Руслан</t>
        </is>
      </c>
      <c r="C3" s="6" t="inlineStr">
        <is>
          <t>Кассир</t>
        </is>
      </c>
      <c r="D3" s="5" t="inlineStr">
        <is>
          <t>Ночная</t>
        </is>
      </c>
      <c r="E3" s="5" t="inlineStr">
        <is>
          <t>21:00 – 09:00</t>
        </is>
      </c>
      <c r="F3" s="5" t="n">
        <v>12</v>
      </c>
      <c r="G3" s="7" t="n">
        <v>220</v>
      </c>
      <c r="H3" s="7">
        <f>F3*G3</f>
        <v/>
      </c>
      <c r="I3" s="7" t="n">
        <v>0</v>
      </c>
      <c r="J3" s="7" t="n">
        <v>0</v>
      </c>
      <c r="K3" s="7">
        <f>H3-I3+J3</f>
        <v/>
      </c>
      <c r="L3" s="6" t="inlineStr">
        <is>
          <t>🟢 Отработана</t>
        </is>
      </c>
    </row>
    <row r="4" ht="22" customHeight="1">
      <c r="A4" s="2" t="inlineStr">
        <is>
          <t>2026-08-19</t>
        </is>
      </c>
      <c r="B4" s="3" t="inlineStr">
        <is>
          <t>Петрова Елена</t>
        </is>
      </c>
      <c r="C4" s="3" t="inlineStr">
        <is>
          <t>Кассир</t>
        </is>
      </c>
      <c r="D4" s="2" t="inlineStr">
        <is>
          <t>Дневная</t>
        </is>
      </c>
      <c r="E4" s="2" t="inlineStr">
        <is>
          <t>09:00 – 21:00</t>
        </is>
      </c>
      <c r="F4" s="2" t="n">
        <v>12</v>
      </c>
      <c r="G4" s="4" t="n">
        <v>200</v>
      </c>
      <c r="H4" s="4">
        <f>F4*G4</f>
        <v/>
      </c>
      <c r="I4" s="4" t="n">
        <v>200</v>
      </c>
      <c r="J4" s="4" t="n">
        <v>0</v>
      </c>
      <c r="K4" s="4">
        <f>H4-I4+J4</f>
        <v/>
      </c>
      <c r="L4" s="3" t="inlineStr">
        <is>
          <t>🔴 Недостача кассы</t>
        </is>
      </c>
    </row>
    <row r="5" ht="22" customHeight="1">
      <c r="A5" s="5" t="inlineStr">
        <is>
          <t>2026-08-19</t>
        </is>
      </c>
      <c r="B5" s="6" t="inlineStr">
        <is>
          <t>Ахмадов Мансур</t>
        </is>
      </c>
      <c r="C5" s="6" t="inlineStr">
        <is>
          <t>Кассир</t>
        </is>
      </c>
      <c r="D5" s="5" t="inlineStr">
        <is>
          <t>Ночная</t>
        </is>
      </c>
      <c r="E5" s="5" t="inlineStr">
        <is>
          <t>21:00 – 09:00</t>
        </is>
      </c>
      <c r="F5" s="5" t="n">
        <v>12</v>
      </c>
      <c r="G5" s="7" t="n">
        <v>220</v>
      </c>
      <c r="H5" s="7">
        <f>F5*G5</f>
        <v/>
      </c>
      <c r="I5" s="7" t="n">
        <v>0</v>
      </c>
      <c r="J5" s="7" t="n">
        <v>200</v>
      </c>
      <c r="K5" s="7">
        <f>H5-I5+J5</f>
        <v/>
      </c>
      <c r="L5" s="6" t="inlineStr">
        <is>
          <t>🟢 Отработана</t>
        </is>
      </c>
    </row>
    <row r="6" ht="22" customHeight="1">
      <c r="A6" s="2" t="inlineStr">
        <is>
          <t>2026-08-20</t>
        </is>
      </c>
      <c r="B6" s="3" t="inlineStr">
        <is>
          <t>Иванова Анна</t>
        </is>
      </c>
      <c r="C6" s="3" t="inlineStr">
        <is>
          <t>Кассир</t>
        </is>
      </c>
      <c r="D6" s="2" t="inlineStr">
        <is>
          <t>Дневная</t>
        </is>
      </c>
      <c r="E6" s="2" t="inlineStr">
        <is>
          <t>09:00 – 21:00</t>
        </is>
      </c>
      <c r="F6" s="2" t="n">
        <v>12</v>
      </c>
      <c r="G6" s="4" t="n">
        <v>200</v>
      </c>
      <c r="H6" s="4">
        <f>F6*G6</f>
        <v/>
      </c>
      <c r="I6" s="4" t="n">
        <v>0</v>
      </c>
      <c r="J6" s="4" t="n">
        <v>500</v>
      </c>
      <c r="K6" s="4">
        <f>H6-I6+J6</f>
        <v/>
      </c>
      <c r="L6" s="3" t="inlineStr">
        <is>
          <t>🟢 Отработана</t>
        </is>
      </c>
    </row>
    <row r="7" ht="22" customHeight="1">
      <c r="A7" s="5" t="inlineStr">
        <is>
          <t>2026-08-20</t>
        </is>
      </c>
      <c r="B7" s="6" t="inlineStr">
        <is>
          <t>Хасанов Тамерлан</t>
        </is>
      </c>
      <c r="C7" s="6" t="inlineStr">
        <is>
          <t>Охранник</t>
        </is>
      </c>
      <c r="D7" s="5" t="inlineStr">
        <is>
          <t>Суточная</t>
        </is>
      </c>
      <c r="E7" s="5" t="inlineStr">
        <is>
          <t>09:00 – 09:00</t>
        </is>
      </c>
      <c r="F7" s="5" t="n">
        <v>24</v>
      </c>
      <c r="G7" s="7" t="n">
        <v>150</v>
      </c>
      <c r="H7" s="7">
        <f>F7*G7</f>
        <v/>
      </c>
      <c r="I7" s="7" t="n">
        <v>0</v>
      </c>
      <c r="J7" s="7" t="n">
        <v>0</v>
      </c>
      <c r="K7" s="7">
        <f>H7-I7+J7</f>
        <v/>
      </c>
      <c r="L7" s="6" t="inlineStr">
        <is>
          <t>🟢 Отработана</t>
        </is>
      </c>
    </row>
    <row r="8" ht="24" customHeight="1">
      <c r="A8" s="8" t="inlineStr">
        <is>
          <t>ИТОГО</t>
        </is>
      </c>
      <c r="B8" s="8" t="n"/>
      <c r="C8" s="8" t="n"/>
      <c r="D8" s="8" t="n"/>
      <c r="E8" s="8" t="n"/>
      <c r="F8" s="8">
        <f>SUM(F2:F7)</f>
        <v/>
      </c>
      <c r="G8" s="8" t="n"/>
      <c r="H8" s="9">
        <f>SUM(H2:H7)</f>
        <v/>
      </c>
      <c r="I8" s="9">
        <f>SUM(I2:I7)</f>
        <v/>
      </c>
      <c r="J8" s="9">
        <f>SUM(J2:J7)</f>
        <v/>
      </c>
      <c r="K8" s="9">
        <f>SUM(K2:K7)</f>
        <v/>
      </c>
      <c r="L8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5" customWidth="1" min="3" max="3"/>
    <col width="20" customWidth="1" min="4" max="4"/>
    <col width="21" customWidth="1" min="5" max="5"/>
    <col width="32" customWidth="1" min="6" max="6"/>
    <col width="25" customWidth="1" min="7" max="7"/>
  </cols>
  <sheetData>
    <row r="1" ht="28" customHeight="1">
      <c r="A1" s="10" t="inlineStr">
        <is>
          <t>Дата выплаты</t>
        </is>
      </c>
      <c r="B1" s="10" t="inlineStr">
        <is>
          <t>ФИО Сотрудника</t>
        </is>
      </c>
      <c r="C1" s="10" t="inlineStr">
        <is>
          <t>Тип выплаты</t>
        </is>
      </c>
      <c r="D1" s="10" t="inlineStr">
        <is>
          <t>Сумма выплаты, ₽</t>
        </is>
      </c>
      <c r="E1" s="10" t="inlineStr">
        <is>
          <t>Форма оплаты</t>
        </is>
      </c>
      <c r="F1" s="10" t="inlineStr">
        <is>
          <t>Основание / Примечание</t>
        </is>
      </c>
      <c r="G1" s="10" t="inlineStr">
        <is>
          <t>Выдал (Администратор)</t>
        </is>
      </c>
    </row>
    <row r="2" ht="22" customHeight="1">
      <c r="A2" s="2" t="inlineStr">
        <is>
          <t>2026-08-10</t>
        </is>
      </c>
      <c r="B2" s="3" t="inlineStr">
        <is>
          <t>Иванова Анна</t>
        </is>
      </c>
      <c r="C2" s="2" t="inlineStr">
        <is>
          <t>Аванс</t>
        </is>
      </c>
      <c r="D2" s="4" t="n">
        <v>15000</v>
      </c>
      <c r="E2" s="2" t="inlineStr">
        <is>
          <t>Наличные из кассы</t>
        </is>
      </c>
      <c r="F2" s="3" t="inlineStr">
        <is>
          <t>Аванс за 1-ю половину месяца</t>
        </is>
      </c>
      <c r="G2" s="3" t="inlineStr">
        <is>
          <t>Управляющий</t>
        </is>
      </c>
    </row>
    <row r="3" ht="22" customHeight="1">
      <c r="A3" s="5" t="inlineStr">
        <is>
          <t>2026-08-10</t>
        </is>
      </c>
      <c r="B3" s="6" t="inlineStr">
        <is>
          <t>Смирнов Руслан</t>
        </is>
      </c>
      <c r="C3" s="5" t="inlineStr">
        <is>
          <t>Аванс</t>
        </is>
      </c>
      <c r="D3" s="7" t="n">
        <v>15000</v>
      </c>
      <c r="E3" s="5" t="inlineStr">
        <is>
          <t>Перевод СБП</t>
        </is>
      </c>
      <c r="F3" s="6" t="inlineStr">
        <is>
          <t>Аванс за 1-ю половину месяца</t>
        </is>
      </c>
      <c r="G3" s="6" t="inlineStr">
        <is>
          <t>Управляющий</t>
        </is>
      </c>
    </row>
    <row r="4" ht="22" customHeight="1">
      <c r="A4" s="2" t="inlineStr">
        <is>
          <t>2026-08-10</t>
        </is>
      </c>
      <c r="B4" s="3" t="inlineStr">
        <is>
          <t>Петрова Елена</t>
        </is>
      </c>
      <c r="C4" s="2" t="inlineStr">
        <is>
          <t>Аванс</t>
        </is>
      </c>
      <c r="D4" s="4" t="n">
        <v>12000</v>
      </c>
      <c r="E4" s="2" t="inlineStr">
        <is>
          <t>Наличные из кассы</t>
        </is>
      </c>
      <c r="F4" s="3" t="inlineStr">
        <is>
          <t>Аванс за 1-ю половину месяца</t>
        </is>
      </c>
      <c r="G4" s="3" t="inlineStr">
        <is>
          <t>Управляющий</t>
        </is>
      </c>
    </row>
    <row r="5" ht="22" customHeight="1">
      <c r="A5" s="5" t="inlineStr">
        <is>
          <t>2026-08-10</t>
        </is>
      </c>
      <c r="B5" s="6" t="inlineStr">
        <is>
          <t>Ахмадов Мансур</t>
        </is>
      </c>
      <c r="C5" s="5" t="inlineStr">
        <is>
          <t>Аванс</t>
        </is>
      </c>
      <c r="D5" s="7" t="n">
        <v>14000</v>
      </c>
      <c r="E5" s="5" t="inlineStr">
        <is>
          <t>Перевод СБП</t>
        </is>
      </c>
      <c r="F5" s="6" t="inlineStr">
        <is>
          <t>Аванс за 1-ю половину месяца</t>
        </is>
      </c>
      <c r="G5" s="6" t="inlineStr">
        <is>
          <t>Управляющий</t>
        </is>
      </c>
    </row>
    <row r="6" ht="22" customHeight="1">
      <c r="A6" s="2" t="inlineStr">
        <is>
          <t>2026-08-10</t>
        </is>
      </c>
      <c r="B6" s="3" t="inlineStr">
        <is>
          <t>Хасанов Тамерлан</t>
        </is>
      </c>
      <c r="C6" s="2" t="inlineStr">
        <is>
          <t>Аванс</t>
        </is>
      </c>
      <c r="D6" s="4" t="n">
        <v>10000</v>
      </c>
      <c r="E6" s="2" t="inlineStr">
        <is>
          <t>Наличные из кассы</t>
        </is>
      </c>
      <c r="F6" s="3" t="inlineStr">
        <is>
          <t>Аванс за 1-ю половину месяца</t>
        </is>
      </c>
      <c r="G6" s="3" t="inlineStr">
        <is>
          <t>Управляющий</t>
        </is>
      </c>
    </row>
    <row r="7" ht="24" customHeight="1">
      <c r="A7" s="8" t="inlineStr">
        <is>
          <t>ИТОГО ВЫПЛАЧЕНО</t>
        </is>
      </c>
      <c r="B7" s="8" t="n"/>
      <c r="C7" s="8" t="n"/>
      <c r="D7" s="9">
        <f>SUM(D2:D6)</f>
        <v/>
      </c>
      <c r="E7" s="8" t="n"/>
      <c r="F7" s="8" t="n"/>
      <c r="G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2" customWidth="1" min="4" max="4"/>
    <col width="15" customWidth="1" min="5" max="5"/>
    <col width="28" customWidth="1" min="6" max="6"/>
    <col width="24" customWidth="1" min="7" max="7"/>
    <col width="24" customWidth="1" min="8" max="8"/>
    <col width="24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B1" s="11" t="inlineStr">
        <is>
          <t>СВОДНАЯ ВЕДОМОСТЬ ЗАРПЛАТЫ И ТАБЕЛЬ ВЫПЛАТ 24/7 (ФОТ)</t>
        </is>
      </c>
    </row>
    <row r="2"/>
    <row r="3" ht="18" customHeight="1">
      <c r="B3" s="12" t="inlineStr">
        <is>
          <t>НАЧИСЛЕННЫЙ ФОТ (МЕСЯЦ)</t>
        </is>
      </c>
      <c r="C3" s="13" t="n"/>
      <c r="D3" s="12" t="inlineStr">
        <is>
          <t>ВЫПЛАЧЕНО АВАНСОВ</t>
        </is>
      </c>
      <c r="E3" s="13" t="n"/>
      <c r="F3" s="12" t="inlineStr">
        <is>
          <t>ОСТАТОК К ВЫПЛАТЕ</t>
        </is>
      </c>
      <c r="G3" s="13" t="n"/>
      <c r="H3" s="12" t="inlineStr">
        <is>
          <t>ВСЕГО ЧАСОВ ОТРАБОТАНО</t>
        </is>
      </c>
      <c r="I3" s="13" t="n"/>
    </row>
    <row r="4" ht="28" customHeight="1">
      <c r="B4" s="14">
        <f>SUM(I9:I13)</f>
        <v/>
      </c>
      <c r="C4" s="15" t="n"/>
      <c r="D4" s="14">
        <f>SUM(Выплаты_и_Авансы!D2:D6)</f>
        <v/>
      </c>
      <c r="E4" s="15" t="n"/>
      <c r="F4" s="14">
        <f>SUM(K9:K13)</f>
        <v/>
      </c>
      <c r="G4" s="15" t="n"/>
      <c r="H4" s="16">
        <f>SUM(Табель_Смен_24_7!F2:F7)</f>
        <v/>
      </c>
      <c r="I4" s="15" t="n"/>
    </row>
    <row r="5" ht="18" customHeight="1">
      <c r="B5" s="17" t="inlineStr">
        <is>
          <t>По окладам и часам</t>
        </is>
      </c>
      <c r="C5" s="18" t="n"/>
      <c r="D5" s="17" t="inlineStr">
        <is>
          <t>Через кассу и банк</t>
        </is>
      </c>
      <c r="E5" s="18" t="n"/>
      <c r="F5" s="17" t="inlineStr">
        <is>
          <t>Текущий долг по зарплате</t>
        </is>
      </c>
      <c r="G5" s="18" t="n"/>
      <c r="H5" s="17" t="inlineStr">
        <is>
          <t>Сумма по табелю смен</t>
        </is>
      </c>
      <c r="I5" s="18" t="n"/>
    </row>
    <row r="6"/>
    <row r="7">
      <c r="B7" s="19" t="inlineStr">
        <is>
          <t>Расчетная зарплатная ведомость по сотрудникам магазина</t>
        </is>
      </c>
    </row>
    <row r="8" ht="26" customHeight="1">
      <c r="B8" s="1" t="inlineStr">
        <is>
          <t>Сотрудник</t>
        </is>
      </c>
      <c r="C8" s="1" t="inlineStr">
        <is>
          <t>Должность</t>
        </is>
      </c>
      <c r="D8" s="1" t="inlineStr">
        <is>
          <t>Смен в табеле</t>
        </is>
      </c>
      <c r="E8" s="1" t="inlineStr">
        <is>
          <t>Часов</t>
        </is>
      </c>
      <c r="F8" s="1" t="inlineStr">
        <is>
          <t>Почасовая ставка, ₽</t>
        </is>
      </c>
      <c r="G8" s="1" t="inlineStr">
        <is>
          <t>Дневная ставка (12ч), ₽</t>
        </is>
      </c>
      <c r="H8" s="1" t="inlineStr">
        <is>
          <t>Месячный оклад / План, ₽</t>
        </is>
      </c>
      <c r="I8" s="1" t="inlineStr">
        <is>
          <t>Начислено по табелю, ₽</t>
        </is>
      </c>
      <c r="J8" s="1" t="inlineStr">
        <is>
          <t>Выплачено авансов, ₽</t>
        </is>
      </c>
      <c r="K8" s="1" t="inlineStr">
        <is>
          <t>Осталось выплатить, ₽</t>
        </is>
      </c>
      <c r="L8" s="1" t="inlineStr">
        <is>
          <t>Статус выплаты</t>
        </is>
      </c>
    </row>
    <row r="9" ht="22" customHeight="1">
      <c r="B9" s="6" t="inlineStr">
        <is>
          <t>Иванова Анна</t>
        </is>
      </c>
      <c r="C9" s="6" t="inlineStr">
        <is>
          <t>Старший кассир (День)</t>
        </is>
      </c>
      <c r="D9" s="5">
        <f>COUNTIF(Табель_Смен_24_7!$B$2:$B$7, B9)</f>
        <v/>
      </c>
      <c r="E9" s="5">
        <f>SUMIF(Табель_Смен_24_7!$B$2:$B$7, B9, Табель_Смен_24_7!$F$2:$F$7)</f>
        <v/>
      </c>
      <c r="F9" s="7" t="n">
        <v>200</v>
      </c>
      <c r="G9" s="7">
        <f>F9*12</f>
        <v/>
      </c>
      <c r="H9" s="7" t="n">
        <v>48000</v>
      </c>
      <c r="I9" s="7">
        <f>SUMIF(Табель_Смен_24_7!$B$2:$B$7, B9, Табель_Смен_24_7!$K$2:$K$7)</f>
        <v/>
      </c>
      <c r="J9" s="7">
        <f>SUMIF(Выплаты_и_Авансы!$B$2:$B$6, B9, Выплаты_и_Авансы!$D$2:$D$6)</f>
        <v/>
      </c>
      <c r="K9" s="20">
        <f>I9-J9</f>
        <v/>
      </c>
      <c r="L9" s="5">
        <f>IF(K9&lt;=0, "🟢 Выплачено полностью", "🔴 Требуется выплата")</f>
        <v/>
      </c>
    </row>
    <row r="10" ht="22" customHeight="1">
      <c r="B10" s="3" t="inlineStr">
        <is>
          <t>Смирнов Руслан</t>
        </is>
      </c>
      <c r="C10" s="3" t="inlineStr">
        <is>
          <t>Кассир (Ночь)</t>
        </is>
      </c>
      <c r="D10" s="2">
        <f>COUNTIF(Табель_Смен_24_7!$B$2:$B$7, B10)</f>
        <v/>
      </c>
      <c r="E10" s="2">
        <f>SUMIF(Табель_Смен_24_7!$B$2:$B$7, B10, Табель_Смен_24_7!$F$2:$F$7)</f>
        <v/>
      </c>
      <c r="F10" s="4" t="n">
        <v>220</v>
      </c>
      <c r="G10" s="4">
        <f>F10*12</f>
        <v/>
      </c>
      <c r="H10" s="4" t="n">
        <v>52800</v>
      </c>
      <c r="I10" s="4">
        <f>SUMIF(Табель_Смен_24_7!$B$2:$B$7, B10, Табель_Смен_24_7!$K$2:$K$7)</f>
        <v/>
      </c>
      <c r="J10" s="4">
        <f>SUMIF(Выплаты_и_Авансы!$B$2:$B$6, B10, Выплаты_и_Авансы!$D$2:$D$6)</f>
        <v/>
      </c>
      <c r="K10" s="21">
        <f>I10-J10</f>
        <v/>
      </c>
      <c r="L10" s="2">
        <f>IF(K10&lt;=0, "🟢 Выплачено полностью", "🔴 Требуется выплата")</f>
        <v/>
      </c>
    </row>
    <row r="11" ht="22" customHeight="1">
      <c r="B11" s="6" t="inlineStr">
        <is>
          <t>Петрова Елена</t>
        </is>
      </c>
      <c r="C11" s="6" t="inlineStr">
        <is>
          <t>Кассир (День)</t>
        </is>
      </c>
      <c r="D11" s="5">
        <f>COUNTIF(Табель_Смен_24_7!$B$2:$B$7, B11)</f>
        <v/>
      </c>
      <c r="E11" s="5">
        <f>SUMIF(Табель_Смен_24_7!$B$2:$B$7, B11, Табель_Смен_24_7!$F$2:$F$7)</f>
        <v/>
      </c>
      <c r="F11" s="7" t="n">
        <v>200</v>
      </c>
      <c r="G11" s="7">
        <f>F11*12</f>
        <v/>
      </c>
      <c r="H11" s="7" t="n">
        <v>48000</v>
      </c>
      <c r="I11" s="7">
        <f>SUMIF(Табель_Смен_24_7!$B$2:$B$7, B11, Табель_Смен_24_7!$K$2:$K$7)</f>
        <v/>
      </c>
      <c r="J11" s="7">
        <f>SUMIF(Выплаты_и_Авансы!$B$2:$B$6, B11, Выплаты_и_Авансы!$D$2:$D$6)</f>
        <v/>
      </c>
      <c r="K11" s="20">
        <f>I11-J11</f>
        <v/>
      </c>
      <c r="L11" s="5">
        <f>IF(K11&lt;=0, "🟢 Выплачено полностью", "🔴 Требуется выплата")</f>
        <v/>
      </c>
    </row>
    <row r="12" ht="22" customHeight="1">
      <c r="B12" s="3" t="inlineStr">
        <is>
          <t>Ахмадов Мансур</t>
        </is>
      </c>
      <c r="C12" s="3" t="inlineStr">
        <is>
          <t>Кассир (Ночь)</t>
        </is>
      </c>
      <c r="D12" s="2">
        <f>COUNTIF(Табель_Смен_24_7!$B$2:$B$7, B12)</f>
        <v/>
      </c>
      <c r="E12" s="2">
        <f>SUMIF(Табель_Смен_24_7!$B$2:$B$7, B12, Табель_Смен_24_7!$F$2:$F$7)</f>
        <v/>
      </c>
      <c r="F12" s="4" t="n">
        <v>220</v>
      </c>
      <c r="G12" s="4">
        <f>F12*12</f>
        <v/>
      </c>
      <c r="H12" s="4" t="n">
        <v>52800</v>
      </c>
      <c r="I12" s="4">
        <f>SUMIF(Табель_Смен_24_7!$B$2:$B$7, B12, Табель_Смен_24_7!$K$2:$K$7)</f>
        <v/>
      </c>
      <c r="J12" s="4">
        <f>SUMIF(Выплаты_и_Авансы!$B$2:$B$6, B12, Выплаты_и_Авансы!$D$2:$D$6)</f>
        <v/>
      </c>
      <c r="K12" s="21">
        <f>I12-J12</f>
        <v/>
      </c>
      <c r="L12" s="2">
        <f>IF(K12&lt;=0, "🟢 Выплачено полностью", "🔴 Требуется выплата")</f>
        <v/>
      </c>
    </row>
    <row r="13" ht="22" customHeight="1">
      <c r="B13" s="6" t="inlineStr">
        <is>
          <t>Хасанов Тамерлан</t>
        </is>
      </c>
      <c r="C13" s="6" t="inlineStr">
        <is>
          <t>Охранник-контролер</t>
        </is>
      </c>
      <c r="D13" s="5">
        <f>COUNTIF(Табель_Смен_24_7!$B$2:$B$7, B13)</f>
        <v/>
      </c>
      <c r="E13" s="5">
        <f>SUMIF(Табель_Смен_24_7!$B$2:$B$7, B13, Табель_Смен_24_7!$F$2:$F$7)</f>
        <v/>
      </c>
      <c r="F13" s="7" t="n">
        <v>150</v>
      </c>
      <c r="G13" s="7">
        <f>F13*12</f>
        <v/>
      </c>
      <c r="H13" s="7" t="n">
        <v>36000</v>
      </c>
      <c r="I13" s="7">
        <f>SUMIF(Табель_Смен_24_7!$B$2:$B$7, B13, Табель_Смен_24_7!$K$2:$K$7)</f>
        <v/>
      </c>
      <c r="J13" s="7">
        <f>SUMIF(Выплаты_и_Авансы!$B$2:$B$6, B13, Выплаты_и_Авансы!$D$2:$D$6)</f>
        <v/>
      </c>
      <c r="K13" s="20">
        <f>I13-J13</f>
        <v/>
      </c>
      <c r="L13" s="5">
        <f>IF(K13&lt;=0, "🟢 Выплачено полностью", "🔴 Требуется выплата")</f>
        <v/>
      </c>
    </row>
    <row r="14" ht="24" customHeight="1">
      <c r="B14" s="8" t="inlineStr">
        <is>
          <t>ИТОГО ПО ВСЕМ СОТРУДНИКАМ</t>
        </is>
      </c>
      <c r="C14" s="8" t="n"/>
      <c r="D14" s="8">
        <f>SUM(D9:D13)</f>
        <v/>
      </c>
      <c r="E14" s="8">
        <f>SUM(E9:E13)</f>
        <v/>
      </c>
      <c r="F14" s="8" t="n"/>
      <c r="G14" s="8" t="n"/>
      <c r="H14" s="9">
        <f>SUM(H9:H13)</f>
        <v/>
      </c>
      <c r="I14" s="9">
        <f>SUM(I9:I13)</f>
        <v/>
      </c>
      <c r="J14" s="9">
        <f>SUM(J9:J13)</f>
        <v/>
      </c>
      <c r="K14" s="22">
        <f>SUM(K9:K13)</f>
        <v/>
      </c>
      <c r="L14" s="8" t="n"/>
    </row>
  </sheetData>
  <mergeCells count="13">
    <mergeCell ref="F3:G3"/>
    <mergeCell ref="F4:G4"/>
    <mergeCell ref="B1:K1"/>
    <mergeCell ref="B3:C3"/>
    <mergeCell ref="B5:C5"/>
    <mergeCell ref="F5:G5"/>
    <mergeCell ref="D5:E5"/>
    <mergeCell ref="H5:I5"/>
    <mergeCell ref="D4:E4"/>
    <mergeCell ref="H4:I4"/>
    <mergeCell ref="D3:E3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2026-08-20T06:57:55Z</dcterms:created>
  <dcterms:modified xmlns:dcterms="http://purl.org/dc/terms/" xmlns:xsi="http://www.w3.org/2001/XMLSchema-instance" xsi:type="dcterms:W3CDTF">2026-08-20T06:57:55Z</dcterms:modified>
</cp:coreProperties>
</file>