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Справочники" sheetId="2" state="visible" r:id="rId2"/>
    <sheet name="Касса" sheetId="3" state="visible" r:id="rId3"/>
    <sheet name="Выплаты" sheetId="4" state="visible" r:id="rId4"/>
    <sheet name="Долги" sheetId="5" state="visible" r:id="rId5"/>
    <sheet name="Заказы" sheetId="6" state="visible" r:id="rId6"/>
    <sheet name="Табель" sheetId="7" state="visible" r:id="rId7"/>
    <sheet name="Зарплата" sheetId="8" state="visible" r:id="rId8"/>
    <sheet name="Накопления" sheetId="9" state="visible" r:id="rId9"/>
    <sheet name="Цели" sheetId="10" state="visible" r:id="rId10"/>
    <sheet name="Расходы" sheetId="11" state="visible" r:id="rId11"/>
    <sheet name="Отчёт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\ &quot;₽&quot;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5E5CE6"/>
      <sz val="16"/>
    </font>
    <font>
      <b val="1"/>
      <color rgb="001C1C1E"/>
      <sz val="11"/>
    </font>
    <font>
      <sz val="11"/>
    </font>
    <font>
      <b val="1"/>
      <color rgb="005E5CE6"/>
      <sz val="11"/>
    </font>
    <font>
      <i val="1"/>
      <color rgb="008E8E93"/>
      <sz val="10"/>
    </font>
    <font>
      <b val="1"/>
      <color rgb="00FFFFFF"/>
      <sz val="11"/>
    </font>
    <font>
      <b val="1"/>
      <color rgb="00FFFFFF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5E5CE6"/>
      </patternFill>
    </fill>
  </fills>
  <borders count="5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  <border>
      <left/>
      <right/>
      <top style="thin">
        <color rgb="00E5E5EA"/>
      </top>
      <bottom/>
      <diagonal/>
    </border>
    <border>
      <left/>
      <right style="thin">
        <color rgb="00E5E5EA"/>
      </right>
      <top style="thin">
        <color rgb="00E5E5EA"/>
      </top>
      <bottom/>
      <diagonal/>
    </border>
    <border>
      <left/>
      <right style="thin">
        <color rgb="00E5E5EA"/>
      </right>
      <top style="thin">
        <color rgb="00E5E5EA"/>
      </top>
      <bottom style="thin">
        <color rgb="00E5E5E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1" pivotButton="0" quotePrefix="0" xfId="0"/>
    <xf numFmtId="164" fontId="0" fillId="0" borderId="1" pivotButton="0" quotePrefix="0" xfId="0"/>
    <xf numFmtId="0" fontId="8" fillId="0" borderId="1" pivotButton="0" quotePrefix="0" xfId="0"/>
    <xf numFmtId="165" fontId="0" fillId="0" borderId="1" pivotButton="0" quotePrefix="0" xfId="0"/>
    <xf numFmtId="0" fontId="8" fillId="0" borderId="0" pivotButton="0" quotePrefix="0" xfId="0"/>
    <xf numFmtId="164" fontId="8" fillId="0" borderId="0" pivotButton="0" quotePrefix="0" xfId="0"/>
    <xf numFmtId="164" fontId="8" fillId="0" borderId="1" pivotButton="0" quotePrefix="0" xfId="0"/>
    <xf numFmtId="0" fontId="7" fillId="2" borderId="0" pivotButton="0" quotePrefix="0" xfId="0"/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Auron Finance — ежедневный учёт (Way Market)</t>
        </is>
      </c>
    </row>
    <row r="3" ht="30" customHeight="1">
      <c r="A3" s="2" t="inlineStr">
        <is>
          <t>Что это</t>
        </is>
      </c>
      <c r="B3" s="3" t="inlineStr">
        <is>
          <t>Рабочая тетрадь магазина. Заполняется каждый день. Считает всё само по формулам приложения.</t>
        </is>
      </c>
    </row>
    <row r="4" ht="30" customHeight="1">
      <c r="A4" s="2" t="inlineStr">
        <is>
          <t>Сначала — один раз</t>
        </is>
      </c>
      <c r="B4" s="3" t="inlineStr">
        <is>
          <t>Лист «Справочники»: впиши поставщиков с начальными долгами, сотрудников со ставками, статьи накоплений, отделы, целевую рентабельность.</t>
        </is>
      </c>
    </row>
    <row r="5" ht="30" customHeight="1">
      <c r="A5" s="2" t="inlineStr">
        <is>
          <t>Каждое утро</t>
        </is>
      </c>
      <c r="B5" s="3" t="inlineStr">
        <is>
          <t>Лист «Касса»: вводи Z-отчёт по сменам. Расхождение посчитается само.</t>
        </is>
      </c>
    </row>
    <row r="6" ht="30" customHeight="1">
      <c r="A6" s="2" t="inlineStr">
        <is>
          <t>В течение дня</t>
        </is>
      </c>
      <c r="B6" s="3" t="inlineStr">
        <is>
          <t>Лист «Выплаты» — оплаты и накладные поставщикам. Лист «Заказы» — что заказали и что пришло.</t>
        </is>
      </c>
    </row>
    <row r="7" ht="30" customHeight="1">
      <c r="A7" s="2" t="inlineStr">
        <is>
          <t>Каждый день</t>
        </is>
      </c>
      <c r="B7" s="3" t="inlineStr">
        <is>
          <t>Лист «Табель» — кто работал. Лист «Накопления» — сколько отложил на аренду/зарплату/налоги.</t>
        </is>
      </c>
    </row>
    <row r="8" ht="30" customHeight="1">
      <c r="A8" s="2" t="inlineStr">
        <is>
          <t>Долги</t>
        </is>
      </c>
      <c r="B8" s="3" t="inlineStr">
        <is>
          <t>Лист «Долги» считает текущий долг каждого поставщика сам из листа «Выплаты».</t>
        </is>
      </c>
    </row>
    <row r="9" ht="30" customHeight="1">
      <c r="A9" s="2" t="inlineStr">
        <is>
          <t>Зарплата</t>
        </is>
      </c>
      <c r="B9" s="3" t="inlineStr">
        <is>
          <t>Лист «Зарплата» считает к выплате: ставка × отработано − авансы.</t>
        </is>
      </c>
    </row>
    <row r="10" ht="30" customHeight="1">
      <c r="A10" s="2" t="inlineStr">
        <is>
          <t>Итог месяца</t>
        </is>
      </c>
      <c r="B10" s="3" t="inlineStr">
        <is>
          <t>Лист «Отчёт» собирает выручку, расходы, прибыль и рентабельность за месяц.</t>
        </is>
      </c>
    </row>
    <row r="11" ht="30" customHeight="1">
      <c r="A11" s="2" t="inlineStr"/>
      <c r="B11" s="3" t="inlineStr"/>
    </row>
    <row r="12" ht="30" customHeight="1">
      <c r="A12" s="4" t="inlineStr">
        <is>
          <t>ФОРМУЛЫ (как в приложении)</t>
        </is>
      </c>
      <c r="B12" s="3" t="inlineStr"/>
    </row>
    <row r="13" ht="30" customHeight="1">
      <c r="A13" s="2" t="inlineStr">
        <is>
          <t>Расхождение кассы</t>
        </is>
      </c>
      <c r="B13" s="3" t="inlineStr">
        <is>
          <t>(Фактическая наличка + Выплаты с кассы) − Z-отчёт по наличке.  &lt; 0 недостача · &gt; 0 излишек · = 0 идеально.</t>
        </is>
      </c>
    </row>
    <row r="14" ht="30" customHeight="1">
      <c r="A14" s="2" t="inlineStr">
        <is>
          <t>Долг поставщику</t>
        </is>
      </c>
      <c r="B14" s="3" t="inlineStr">
        <is>
          <t>Начальный долг + Накладные (взяли в долг) − Оплачено − Возвраты.</t>
        </is>
      </c>
    </row>
    <row r="15" ht="30" customHeight="1">
      <c r="A15" s="2" t="inlineStr">
        <is>
          <t>Зарплата к выплате</t>
        </is>
      </c>
      <c r="B15" s="3" t="inlineStr">
        <is>
          <t>Ставка × Отработано (дней/часов) − Авансы.</t>
        </is>
      </c>
    </row>
    <row r="16" ht="30" customHeight="1">
      <c r="A16" s="2" t="inlineStr">
        <is>
          <t>Откладывать в день</t>
        </is>
      </c>
      <c r="B16" s="3" t="inlineStr">
        <is>
          <t>(План статьи − Уже отложено) / Дней до конца месяца.</t>
        </is>
      </c>
    </row>
    <row r="17" ht="30" customHeight="1">
      <c r="A17" s="2" t="inlineStr">
        <is>
          <t>Рентабельность</t>
        </is>
      </c>
      <c r="B17" s="3" t="inlineStr">
        <is>
          <t>(Выручка − Себестоимость) / Выручка × 100%.</t>
        </is>
      </c>
    </row>
    <row r="18" ht="30" customHeight="1">
      <c r="A18" s="2" t="inlineStr">
        <is>
          <t>Свободно</t>
        </is>
      </c>
      <c r="B18" s="3" t="inlineStr">
        <is>
          <t>Наличка в кассе − плановые выплаты − резервы накоплений.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5" max="5"/>
    <col width="18" customWidth="1" min="6" max="6"/>
    <col width="14" customWidth="1" min="7" max="7"/>
    <col width="12" customWidth="1" min="8" max="8"/>
    <col width="22" customWidth="1" min="10" max="10"/>
    <col width="14" customWidth="1" min="11" max="11"/>
    <col width="18" customWidth="1" min="13" max="13"/>
    <col width="24" customWidth="1" min="15" max="15"/>
    <col width="14" customWidth="1" min="16" max="16"/>
  </cols>
  <sheetData>
    <row r="1" ht="28" customHeight="1">
      <c r="A1" s="1" t="inlineStr">
        <is>
          <t>Справочники — заполнить один раз</t>
        </is>
      </c>
    </row>
    <row r="2">
      <c r="A2" s="5" t="inlineStr">
        <is>
          <t>Имена отсюда подставляются в выпадающих списках на других листах. Можно добавлять строки.</t>
        </is>
      </c>
    </row>
    <row r="4" ht="30" customHeight="1">
      <c r="A4" s="6" t="inlineStr">
        <is>
          <t>Поставщик</t>
        </is>
      </c>
      <c r="B4" s="6" t="inlineStr">
        <is>
          <t>Телефон</t>
        </is>
      </c>
      <c r="C4" s="6" t="inlineStr">
        <is>
          <t>Начальный долг</t>
        </is>
      </c>
      <c r="D4" s="6" t="n"/>
      <c r="E4" s="7" t="inlineStr">
        <is>
          <t>Сотрудник</t>
        </is>
      </c>
      <c r="F4" s="7" t="inlineStr">
        <is>
          <t>Должность</t>
        </is>
      </c>
      <c r="G4" s="7" t="inlineStr">
        <is>
          <t>Оплата (день/час)</t>
        </is>
      </c>
      <c r="H4" s="7" t="inlineStr">
        <is>
          <t>Ставка</t>
        </is>
      </c>
      <c r="J4" s="7" t="inlineStr">
        <is>
          <t>Статья накоплений</t>
        </is>
      </c>
      <c r="K4" s="7" t="inlineStr">
        <is>
          <t>План в месяц</t>
        </is>
      </c>
      <c r="M4" s="8" t="inlineStr">
        <is>
          <t>Отделы</t>
        </is>
      </c>
      <c r="O4" s="8" t="inlineStr">
        <is>
          <t>Настройки</t>
        </is>
      </c>
      <c r="P4" s="9" t="n"/>
    </row>
    <row r="5">
      <c r="A5" s="10" t="inlineStr">
        <is>
          <t>ООО Альфа</t>
        </is>
      </c>
      <c r="B5" s="10" t="inlineStr">
        <is>
          <t>+7 900 000-00-01</t>
        </is>
      </c>
      <c r="C5" s="11" t="n">
        <v>120000</v>
      </c>
      <c r="E5" s="10" t="inlineStr">
        <is>
          <t>Марина</t>
        </is>
      </c>
      <c r="F5" s="10" t="inlineStr">
        <is>
          <t>Бухгалтер</t>
        </is>
      </c>
      <c r="G5" s="10" t="inlineStr">
        <is>
          <t>день</t>
        </is>
      </c>
      <c r="H5" s="11" t="n">
        <v>2500</v>
      </c>
      <c r="J5" s="10" t="inlineStr">
        <is>
          <t>Аренда</t>
        </is>
      </c>
      <c r="K5" s="11" t="n">
        <v>60000</v>
      </c>
      <c r="M5" s="10" t="inlineStr">
        <is>
          <t>Молочка</t>
        </is>
      </c>
      <c r="O5" s="12" t="inlineStr">
        <is>
          <t>Целевая рентабельность</t>
        </is>
      </c>
      <c r="P5" s="13" t="n">
        <v>0.22</v>
      </c>
    </row>
    <row r="6">
      <c r="A6" s="10" t="inlineStr">
        <is>
          <t>Иванов П.</t>
        </is>
      </c>
      <c r="B6" s="10" t="inlineStr">
        <is>
          <t>+7 900 000-00-02</t>
        </is>
      </c>
      <c r="C6" s="11" t="n">
        <v>45000</v>
      </c>
      <c r="E6" s="10" t="inlineStr">
        <is>
          <t>Олег</t>
        </is>
      </c>
      <c r="F6" s="10" t="inlineStr">
        <is>
          <t>Администратор</t>
        </is>
      </c>
      <c r="G6" s="10" t="inlineStr">
        <is>
          <t>день</t>
        </is>
      </c>
      <c r="H6" s="11" t="n">
        <v>2000</v>
      </c>
      <c r="J6" s="10" t="inlineStr">
        <is>
          <t>Зарплата</t>
        </is>
      </c>
      <c r="K6" s="11" t="n">
        <v>150000</v>
      </c>
      <c r="M6" s="10" t="inlineStr">
        <is>
          <t>Бакалея</t>
        </is>
      </c>
      <c r="O6" s="12" t="inlineStr">
        <is>
          <t>Метод накоплений</t>
        </is>
      </c>
      <c r="P6" s="10" t="inlineStr">
        <is>
          <t>виртуальный резерв</t>
        </is>
      </c>
    </row>
    <row r="7">
      <c r="A7" s="10" t="inlineStr">
        <is>
          <t>Нурмат ИП</t>
        </is>
      </c>
      <c r="B7" s="10" t="inlineStr">
        <is>
          <t>+7 900 000-00-03</t>
        </is>
      </c>
      <c r="C7" s="11" t="n">
        <v>0</v>
      </c>
      <c r="E7" s="10" t="inlineStr">
        <is>
          <t>Гуля</t>
        </is>
      </c>
      <c r="F7" s="10" t="inlineStr">
        <is>
          <t>Продавец</t>
        </is>
      </c>
      <c r="G7" s="10" t="inlineStr">
        <is>
          <t>день</t>
        </is>
      </c>
      <c r="H7" s="11" t="n">
        <v>1800</v>
      </c>
      <c r="J7" s="10" t="inlineStr">
        <is>
          <t>Налоги</t>
        </is>
      </c>
      <c r="K7" s="11" t="n">
        <v>40000</v>
      </c>
      <c r="M7" s="10" t="inlineStr">
        <is>
          <t>Заморозка</t>
        </is>
      </c>
      <c r="O7" s="12" t="inlineStr">
        <is>
          <t>Дней в месяце</t>
        </is>
      </c>
      <c r="P7" s="10" t="n">
        <v>30</v>
      </c>
    </row>
    <row r="8">
      <c r="A8" s="10" t="n"/>
      <c r="B8" s="10" t="n"/>
      <c r="C8" s="11" t="n"/>
      <c r="E8" s="10" t="n"/>
      <c r="F8" s="10" t="n"/>
      <c r="G8" s="10" t="n"/>
      <c r="H8" s="11" t="n"/>
      <c r="J8" s="10" t="inlineStr">
        <is>
          <t>Коммуналка</t>
        </is>
      </c>
      <c r="K8" s="11" t="n">
        <v>15000</v>
      </c>
      <c r="M8" s="10" t="inlineStr">
        <is>
          <t>Химия</t>
        </is>
      </c>
    </row>
    <row r="9">
      <c r="A9" s="10" t="n"/>
      <c r="B9" s="10" t="n"/>
      <c r="C9" s="11" t="n"/>
      <c r="E9" s="10" t="n"/>
      <c r="F9" s="10" t="n"/>
      <c r="G9" s="10" t="n"/>
      <c r="H9" s="11" t="n"/>
      <c r="J9" s="10" t="n"/>
      <c r="K9" s="11" t="n"/>
      <c r="M9" s="10" t="inlineStr">
        <is>
          <t>Овощи</t>
        </is>
      </c>
    </row>
    <row r="10">
      <c r="A10" s="10" t="n"/>
      <c r="B10" s="10" t="n"/>
      <c r="C10" s="11" t="n"/>
      <c r="E10" s="10" t="n"/>
      <c r="F10" s="10" t="n"/>
      <c r="G10" s="10" t="n"/>
      <c r="H10" s="11" t="n"/>
      <c r="J10" s="10" t="n"/>
      <c r="K10" s="11" t="n"/>
      <c r="M10" s="10" t="n"/>
    </row>
    <row r="11">
      <c r="A11" s="10" t="n"/>
      <c r="B11" s="10" t="n"/>
      <c r="C11" s="11" t="n"/>
      <c r="E11" s="10" t="n"/>
      <c r="F11" s="10" t="n"/>
      <c r="G11" s="10" t="n"/>
      <c r="H11" s="11" t="n"/>
      <c r="J11" s="10" t="n"/>
      <c r="K11" s="11" t="n"/>
      <c r="M11" s="10" t="n"/>
    </row>
    <row r="12">
      <c r="A12" s="10" t="n"/>
      <c r="B12" s="10" t="n"/>
      <c r="C12" s="11" t="n"/>
      <c r="E12" s="10" t="n"/>
      <c r="F12" s="10" t="n"/>
      <c r="G12" s="10" t="n"/>
      <c r="H12" s="11" t="n"/>
      <c r="J12" s="10" t="n"/>
      <c r="K12" s="11" t="n"/>
      <c r="M12" s="10" t="n"/>
    </row>
    <row r="13">
      <c r="A13" s="10" t="n"/>
      <c r="B13" s="10" t="n"/>
      <c r="C13" s="11" t="n"/>
      <c r="E13" s="10" t="n"/>
      <c r="F13" s="10" t="n"/>
      <c r="G13" s="10" t="n"/>
      <c r="H13" s="11" t="n"/>
      <c r="J13" s="10" t="n"/>
      <c r="K13" s="11" t="n"/>
      <c r="M13" s="10" t="n"/>
    </row>
    <row r="14">
      <c r="A14" s="10" t="n"/>
      <c r="B14" s="10" t="n"/>
      <c r="C14" s="11" t="n"/>
      <c r="E14" s="10" t="n"/>
      <c r="F14" s="10" t="n"/>
      <c r="G14" s="10" t="n"/>
      <c r="H14" s="11" t="n"/>
      <c r="J14" s="10" t="n"/>
      <c r="K14" s="11" t="n"/>
      <c r="M14" s="10" t="n"/>
    </row>
    <row r="15">
      <c r="A15" s="10" t="n"/>
      <c r="B15" s="10" t="n"/>
      <c r="C15" s="11" t="n"/>
      <c r="E15" s="10" t="n"/>
      <c r="F15" s="10" t="n"/>
      <c r="G15" s="10" t="n"/>
      <c r="H15" s="11" t="n"/>
      <c r="J15" s="10" t="n"/>
      <c r="K15" s="11" t="n"/>
      <c r="M15" s="10" t="n"/>
    </row>
    <row r="16">
      <c r="A16" s="10" t="n"/>
      <c r="B16" s="10" t="n"/>
      <c r="C16" s="11" t="n"/>
      <c r="E16" s="10" t="n"/>
      <c r="F16" s="10" t="n"/>
      <c r="G16" s="10" t="n"/>
      <c r="H16" s="11" t="n"/>
      <c r="J16" s="10" t="n"/>
      <c r="K16" s="11" t="n"/>
      <c r="M16" s="10" t="n"/>
    </row>
    <row r="17">
      <c r="A17" s="10" t="n"/>
      <c r="B17" s="10" t="n"/>
      <c r="C17" s="11" t="n"/>
      <c r="E17" s="10" t="n"/>
      <c r="F17" s="10" t="n"/>
      <c r="G17" s="10" t="n"/>
      <c r="H17" s="11" t="n"/>
      <c r="J17" s="10" t="n"/>
      <c r="K17" s="11" t="n"/>
      <c r="M17" s="10" t="n"/>
    </row>
    <row r="18">
      <c r="A18" s="10" t="n"/>
      <c r="B18" s="10" t="n"/>
      <c r="C18" s="11" t="n"/>
      <c r="E18" s="10" t="n"/>
      <c r="F18" s="10" t="n"/>
      <c r="G18" s="10" t="n"/>
      <c r="H18" s="11" t="n"/>
      <c r="J18" s="10" t="n"/>
      <c r="K18" s="11" t="n"/>
      <c r="M18" s="10" t="n"/>
    </row>
    <row r="19">
      <c r="A19" s="10" t="n"/>
      <c r="B19" s="10" t="n"/>
      <c r="C19" s="11" t="n"/>
      <c r="E19" s="10" t="n"/>
      <c r="F19" s="10" t="n"/>
      <c r="G19" s="10" t="n"/>
      <c r="H19" s="11" t="n"/>
      <c r="J19" s="10" t="n"/>
      <c r="K19" s="11" t="n"/>
      <c r="M19" s="10" t="n"/>
    </row>
    <row r="20">
      <c r="A20" s="10" t="n"/>
      <c r="B20" s="10" t="n"/>
      <c r="C20" s="11" t="n"/>
      <c r="E20" s="10" t="n"/>
      <c r="F20" s="10" t="n"/>
      <c r="G20" s="10" t="n"/>
      <c r="H20" s="11" t="n"/>
      <c r="J20" s="10" t="n"/>
      <c r="K20" s="11" t="n"/>
      <c r="M20" s="10" t="n"/>
    </row>
    <row r="21">
      <c r="A21" s="10" t="n"/>
      <c r="B21" s="10" t="n"/>
      <c r="C21" s="11" t="n"/>
      <c r="E21" s="10" t="n"/>
      <c r="F21" s="10" t="n"/>
      <c r="G21" s="10" t="n"/>
      <c r="H21" s="11" t="n"/>
      <c r="J21" s="10" t="n"/>
      <c r="K21" s="11" t="n"/>
      <c r="M21" s="10" t="n"/>
    </row>
    <row r="22">
      <c r="A22" s="10" t="n"/>
      <c r="B22" s="10" t="n"/>
      <c r="C22" s="11" t="n"/>
      <c r="E22" s="10" t="n"/>
      <c r="F22" s="10" t="n"/>
      <c r="G22" s="10" t="n"/>
      <c r="H22" s="11" t="n"/>
      <c r="J22" s="10" t="n"/>
      <c r="K22" s="11" t="n"/>
      <c r="M22" s="10" t="n"/>
    </row>
    <row r="23">
      <c r="A23" s="10" t="n"/>
      <c r="B23" s="10" t="n"/>
      <c r="C23" s="11" t="n"/>
      <c r="E23" s="10" t="n"/>
      <c r="F23" s="10" t="n"/>
      <c r="G23" s="10" t="n"/>
      <c r="H23" s="11" t="n"/>
      <c r="J23" s="10" t="n"/>
      <c r="K23" s="11" t="n"/>
      <c r="M23" s="10" t="n"/>
    </row>
    <row r="24">
      <c r="A24" s="10" t="n"/>
      <c r="B24" s="10" t="n"/>
      <c r="C24" s="11" t="n"/>
      <c r="E24" s="10" t="n"/>
      <c r="F24" s="10" t="n"/>
      <c r="G24" s="10" t="n"/>
      <c r="H24" s="11" t="n"/>
      <c r="J24" s="10" t="n"/>
      <c r="K24" s="11" t="n"/>
      <c r="M24" s="10" t="n"/>
    </row>
    <row r="25">
      <c r="A25" s="10" t="n"/>
      <c r="B25" s="10" t="n"/>
      <c r="C25" s="11" t="n"/>
      <c r="E25" s="10" t="n"/>
      <c r="F25" s="10" t="n"/>
      <c r="G25" s="10" t="n"/>
      <c r="H25" s="11" t="n"/>
    </row>
    <row r="26">
      <c r="A26" s="10" t="n"/>
      <c r="B26" s="10" t="n"/>
      <c r="C26" s="11" t="n"/>
      <c r="E26" s="10" t="n"/>
      <c r="F26" s="10" t="n"/>
      <c r="G26" s="10" t="n"/>
      <c r="H26" s="11" t="n"/>
    </row>
    <row r="27">
      <c r="A27" s="10" t="n"/>
      <c r="B27" s="10" t="n"/>
      <c r="C27" s="11" t="n"/>
      <c r="E27" s="10" t="n"/>
      <c r="F27" s="10" t="n"/>
      <c r="G27" s="10" t="n"/>
      <c r="H27" s="11" t="n"/>
    </row>
    <row r="28">
      <c r="A28" s="10" t="n"/>
      <c r="B28" s="10" t="n"/>
      <c r="C28" s="11" t="n"/>
      <c r="E28" s="10" t="n"/>
      <c r="F28" s="10" t="n"/>
      <c r="G28" s="10" t="n"/>
      <c r="H28" s="11" t="n"/>
    </row>
    <row r="29">
      <c r="A29" s="10" t="n"/>
      <c r="B29" s="10" t="n"/>
      <c r="C29" s="11" t="n"/>
      <c r="E29" s="10" t="n"/>
      <c r="F29" s="10" t="n"/>
      <c r="G29" s="10" t="n"/>
      <c r="H29" s="11" t="n"/>
    </row>
    <row r="30">
      <c r="A30" s="10" t="n"/>
      <c r="B30" s="10" t="n"/>
      <c r="C30" s="11" t="n"/>
      <c r="E30" s="10" t="n"/>
      <c r="F30" s="10" t="n"/>
      <c r="G30" s="10" t="n"/>
      <c r="H30" s="11" t="n"/>
    </row>
    <row r="31">
      <c r="A31" s="10" t="n"/>
      <c r="B31" s="10" t="n"/>
      <c r="C31" s="11" t="n"/>
      <c r="E31" s="10" t="n"/>
      <c r="F31" s="10" t="n"/>
      <c r="G31" s="10" t="n"/>
      <c r="H31" s="11" t="n"/>
    </row>
    <row r="32">
      <c r="A32" s="10" t="n"/>
      <c r="B32" s="10" t="n"/>
      <c r="C32" s="11" t="n"/>
      <c r="E32" s="10" t="n"/>
      <c r="F32" s="10" t="n"/>
      <c r="G32" s="10" t="n"/>
      <c r="H32" s="11" t="n"/>
    </row>
    <row r="33">
      <c r="A33" s="10" t="n"/>
      <c r="B33" s="10" t="n"/>
      <c r="C33" s="11" t="n"/>
      <c r="E33" s="10" t="n"/>
      <c r="F33" s="10" t="n"/>
      <c r="G33" s="10" t="n"/>
      <c r="H33" s="11" t="n"/>
    </row>
    <row r="34">
      <c r="A34" s="10" t="n"/>
      <c r="B34" s="10" t="n"/>
      <c r="C34" s="11" t="n"/>
      <c r="E34" s="10" t="n"/>
      <c r="F34" s="10" t="n"/>
      <c r="G34" s="10" t="n"/>
      <c r="H34" s="11" t="n"/>
    </row>
    <row r="35">
      <c r="A35" s="10" t="n"/>
      <c r="B35" s="10" t="n"/>
      <c r="C35" s="11" t="n"/>
    </row>
    <row r="36">
      <c r="A36" s="10" t="n"/>
      <c r="B36" s="10" t="n"/>
      <c r="C36" s="11" t="n"/>
    </row>
    <row r="37">
      <c r="A37" s="10" t="n"/>
      <c r="B37" s="10" t="n"/>
      <c r="C37" s="11" t="n"/>
    </row>
    <row r="38">
      <c r="A38" s="10" t="n"/>
      <c r="B38" s="10" t="n"/>
      <c r="C38" s="11" t="n"/>
    </row>
    <row r="39">
      <c r="A39" s="10" t="n"/>
      <c r="B39" s="10" t="n"/>
      <c r="C39" s="11" t="n"/>
    </row>
    <row r="40">
      <c r="A40" s="10" t="n"/>
      <c r="B40" s="10" t="n"/>
      <c r="C40" s="11" t="n"/>
    </row>
    <row r="41">
      <c r="A41" s="10" t="n"/>
      <c r="B41" s="10" t="n"/>
      <c r="C41" s="11" t="n"/>
    </row>
    <row r="42">
      <c r="A42" s="10" t="n"/>
      <c r="B42" s="10" t="n"/>
      <c r="C42" s="11" t="n"/>
    </row>
    <row r="43">
      <c r="A43" s="10" t="n"/>
      <c r="B43" s="10" t="n"/>
      <c r="C43" s="11" t="n"/>
    </row>
    <row r="44">
      <c r="A44" s="10" t="n"/>
      <c r="B44" s="10" t="n"/>
      <c r="C44" s="11" t="n"/>
    </row>
    <row r="45">
      <c r="A45" s="10" t="n"/>
      <c r="B45" s="10" t="n"/>
      <c r="C45" s="11" t="n"/>
    </row>
    <row r="46">
      <c r="A46" s="10" t="n"/>
      <c r="B46" s="10" t="n"/>
      <c r="C46" s="11" t="n"/>
    </row>
    <row r="47">
      <c r="A47" s="10" t="n"/>
      <c r="B47" s="10" t="n"/>
      <c r="C47" s="11" t="n"/>
    </row>
    <row r="48">
      <c r="A48" s="10" t="n"/>
      <c r="B48" s="10" t="n"/>
      <c r="C48" s="11" t="n"/>
    </row>
    <row r="49">
      <c r="A49" s="10" t="n"/>
      <c r="B49" s="10" t="n"/>
      <c r="C49" s="11" t="n"/>
    </row>
    <row r="50">
      <c r="A50" s="10" t="n"/>
      <c r="B50" s="10" t="n"/>
      <c r="C50" s="11" t="n"/>
    </row>
    <row r="51">
      <c r="A51" s="10" t="n"/>
      <c r="B51" s="10" t="n"/>
      <c r="C51" s="11" t="n"/>
    </row>
    <row r="52">
      <c r="A52" s="10" t="n"/>
      <c r="B52" s="10" t="n"/>
      <c r="C52" s="11" t="n"/>
    </row>
    <row r="53">
      <c r="A53" s="10" t="n"/>
      <c r="B53" s="10" t="n"/>
      <c r="C53" s="11" t="n"/>
    </row>
    <row r="54">
      <c r="A54" s="10" t="n"/>
      <c r="B54" s="10" t="n"/>
      <c r="C54" s="11" t="n"/>
    </row>
  </sheetData>
  <mergeCells count="3">
    <mergeCell ref="A1:I1"/>
    <mergeCell ref="A2:F2"/>
    <mergeCell ref="O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4" customWidth="1" min="9" max="9"/>
    <col width="13" customWidth="1" min="10" max="10"/>
    <col width="13" customWidth="1" min="11" max="11"/>
    <col width="24" customWidth="1" min="12" max="12"/>
  </cols>
  <sheetData>
    <row r="1" ht="28" customHeight="1">
      <c r="A1" s="1" t="inlineStr">
        <is>
          <t>Касса — Z-отчёт по сменам</t>
        </is>
      </c>
    </row>
    <row r="2">
      <c r="A2" s="5" t="inlineStr">
        <is>
          <t>Расхождение = (Факт наличка + Выплаты с кассы) − Z наличка. Карта и СБП идут в банк, в расхождение по налу не входят.</t>
        </is>
      </c>
    </row>
    <row r="3" ht="30" customHeight="1">
      <c r="A3" s="6" t="inlineStr">
        <is>
          <t>Дата</t>
        </is>
      </c>
      <c r="B3" s="6" t="inlineStr">
        <is>
          <t>Смена</t>
        </is>
      </c>
      <c r="C3" s="6" t="inlineStr">
        <is>
          <t>Кассир</t>
        </is>
      </c>
      <c r="D3" s="6" t="inlineStr">
        <is>
          <t>Z наличка</t>
        </is>
      </c>
      <c r="E3" s="6" t="inlineStr">
        <is>
          <t>Z карта</t>
        </is>
      </c>
      <c r="F3" s="6" t="inlineStr">
        <is>
          <t>Z СБП</t>
        </is>
      </c>
      <c r="G3" s="6" t="inlineStr">
        <is>
          <t>Выручка смены</t>
        </is>
      </c>
      <c r="H3" s="6" t="inlineStr">
        <is>
          <t>Факт наличка</t>
        </is>
      </c>
      <c r="I3" s="6" t="inlineStr">
        <is>
          <t>Выплаты с кассы</t>
        </is>
      </c>
      <c r="J3" s="6" t="inlineStr">
        <is>
          <t>Расхождение</t>
        </is>
      </c>
      <c r="K3" s="6" t="inlineStr">
        <is>
          <t>Статус</t>
        </is>
      </c>
      <c r="L3" s="6" t="inlineStr">
        <is>
          <t>Комментарий</t>
        </is>
      </c>
    </row>
    <row r="4">
      <c r="A4" s="10" t="n"/>
      <c r="B4" s="10" t="n"/>
      <c r="C4" s="10" t="n"/>
      <c r="D4" s="11" t="n"/>
      <c r="E4" s="11" t="n"/>
      <c r="F4" s="11" t="n"/>
      <c r="G4" s="11">
        <f>D4+E4+F4</f>
        <v/>
      </c>
      <c r="H4" s="11" t="n"/>
      <c r="I4" s="11" t="n"/>
      <c r="J4" s="11">
        <f>H4+I4-D4</f>
        <v/>
      </c>
      <c r="K4" s="10">
        <f>IF(J4=0,"OK",IF(J4&lt;0,"Недостача","Излишек"))</f>
        <v/>
      </c>
      <c r="L4" s="10" t="n"/>
    </row>
    <row r="5">
      <c r="A5" s="10" t="n"/>
      <c r="B5" s="10" t="n"/>
      <c r="C5" s="10" t="n"/>
      <c r="D5" s="11" t="n"/>
      <c r="E5" s="11" t="n"/>
      <c r="F5" s="11" t="n"/>
      <c r="G5" s="11">
        <f>D5+E5+F5</f>
        <v/>
      </c>
      <c r="H5" s="11" t="n"/>
      <c r="I5" s="11" t="n"/>
      <c r="J5" s="11">
        <f>H5+I5-D5</f>
        <v/>
      </c>
      <c r="K5" s="10">
        <f>IF(J5=0,"OK",IF(J5&lt;0,"Недостача","Излишек"))</f>
        <v/>
      </c>
      <c r="L5" s="10" t="n"/>
    </row>
    <row r="6">
      <c r="A6" s="10" t="n"/>
      <c r="B6" s="10" t="n"/>
      <c r="C6" s="10" t="n"/>
      <c r="D6" s="11" t="n"/>
      <c r="E6" s="11" t="n"/>
      <c r="F6" s="11" t="n"/>
      <c r="G6" s="11">
        <f>D6+E6+F6</f>
        <v/>
      </c>
      <c r="H6" s="11" t="n"/>
      <c r="I6" s="11" t="n"/>
      <c r="J6" s="11">
        <f>H6+I6-D6</f>
        <v/>
      </c>
      <c r="K6" s="10">
        <f>IF(J6=0,"OK",IF(J6&lt;0,"Недостача","Излишек"))</f>
        <v/>
      </c>
      <c r="L6" s="10" t="n"/>
    </row>
    <row r="7">
      <c r="A7" s="10" t="n"/>
      <c r="B7" s="10" t="n"/>
      <c r="C7" s="10" t="n"/>
      <c r="D7" s="11" t="n"/>
      <c r="E7" s="11" t="n"/>
      <c r="F7" s="11" t="n"/>
      <c r="G7" s="11">
        <f>D7+E7+F7</f>
        <v/>
      </c>
      <c r="H7" s="11" t="n"/>
      <c r="I7" s="11" t="n"/>
      <c r="J7" s="11">
        <f>H7+I7-D7</f>
        <v/>
      </c>
      <c r="K7" s="10">
        <f>IF(J7=0,"OK",IF(J7&lt;0,"Недостача","Излишек"))</f>
        <v/>
      </c>
      <c r="L7" s="10" t="n"/>
    </row>
    <row r="8">
      <c r="A8" s="10" t="n"/>
      <c r="B8" s="10" t="n"/>
      <c r="C8" s="10" t="n"/>
      <c r="D8" s="11" t="n"/>
      <c r="E8" s="11" t="n"/>
      <c r="F8" s="11" t="n"/>
      <c r="G8" s="11">
        <f>D8+E8+F8</f>
        <v/>
      </c>
      <c r="H8" s="11" t="n"/>
      <c r="I8" s="11" t="n"/>
      <c r="J8" s="11">
        <f>H8+I8-D8</f>
        <v/>
      </c>
      <c r="K8" s="10">
        <f>IF(J8=0,"OK",IF(J8&lt;0,"Недостача","Излишек"))</f>
        <v/>
      </c>
      <c r="L8" s="10" t="n"/>
    </row>
    <row r="9">
      <c r="A9" s="10" t="n"/>
      <c r="B9" s="10" t="n"/>
      <c r="C9" s="10" t="n"/>
      <c r="D9" s="11" t="n"/>
      <c r="E9" s="11" t="n"/>
      <c r="F9" s="11" t="n"/>
      <c r="G9" s="11">
        <f>D9+E9+F9</f>
        <v/>
      </c>
      <c r="H9" s="11" t="n"/>
      <c r="I9" s="11" t="n"/>
      <c r="J9" s="11">
        <f>H9+I9-D9</f>
        <v/>
      </c>
      <c r="K9" s="10">
        <f>IF(J9=0,"OK",IF(J9&lt;0,"Недостача","Излишек"))</f>
        <v/>
      </c>
      <c r="L9" s="10" t="n"/>
    </row>
    <row r="10">
      <c r="A10" s="10" t="n"/>
      <c r="B10" s="10" t="n"/>
      <c r="C10" s="10" t="n"/>
      <c r="D10" s="11" t="n"/>
      <c r="E10" s="11" t="n"/>
      <c r="F10" s="11" t="n"/>
      <c r="G10" s="11">
        <f>D10+E10+F10</f>
        <v/>
      </c>
      <c r="H10" s="11" t="n"/>
      <c r="I10" s="11" t="n"/>
      <c r="J10" s="11">
        <f>H10+I10-D10</f>
        <v/>
      </c>
      <c r="K10" s="10">
        <f>IF(J10=0,"OK",IF(J10&lt;0,"Недостача","Излишек"))</f>
        <v/>
      </c>
      <c r="L10" s="10" t="n"/>
    </row>
    <row r="11">
      <c r="A11" s="10" t="n"/>
      <c r="B11" s="10" t="n"/>
      <c r="C11" s="10" t="n"/>
      <c r="D11" s="11" t="n"/>
      <c r="E11" s="11" t="n"/>
      <c r="F11" s="11" t="n"/>
      <c r="G11" s="11">
        <f>D11+E11+F11</f>
        <v/>
      </c>
      <c r="H11" s="11" t="n"/>
      <c r="I11" s="11" t="n"/>
      <c r="J11" s="11">
        <f>H11+I11-D11</f>
        <v/>
      </c>
      <c r="K11" s="10">
        <f>IF(J11=0,"OK",IF(J11&lt;0,"Недостача","Излишек"))</f>
        <v/>
      </c>
      <c r="L11" s="10" t="n"/>
    </row>
    <row r="12">
      <c r="A12" s="10" t="n"/>
      <c r="B12" s="10" t="n"/>
      <c r="C12" s="10" t="n"/>
      <c r="D12" s="11" t="n"/>
      <c r="E12" s="11" t="n"/>
      <c r="F12" s="11" t="n"/>
      <c r="G12" s="11">
        <f>D12+E12+F12</f>
        <v/>
      </c>
      <c r="H12" s="11" t="n"/>
      <c r="I12" s="11" t="n"/>
      <c r="J12" s="11">
        <f>H12+I12-D12</f>
        <v/>
      </c>
      <c r="K12" s="10">
        <f>IF(J12=0,"OK",IF(J12&lt;0,"Недостача","Излишек"))</f>
        <v/>
      </c>
      <c r="L12" s="10" t="n"/>
    </row>
    <row r="13">
      <c r="A13" s="10" t="n"/>
      <c r="B13" s="10" t="n"/>
      <c r="C13" s="10" t="n"/>
      <c r="D13" s="11" t="n"/>
      <c r="E13" s="11" t="n"/>
      <c r="F13" s="11" t="n"/>
      <c r="G13" s="11">
        <f>D13+E13+F13</f>
        <v/>
      </c>
      <c r="H13" s="11" t="n"/>
      <c r="I13" s="11" t="n"/>
      <c r="J13" s="11">
        <f>H13+I13-D13</f>
        <v/>
      </c>
      <c r="K13" s="10">
        <f>IF(J13=0,"OK",IF(J13&lt;0,"Недостача","Излишек"))</f>
        <v/>
      </c>
      <c r="L13" s="10" t="n"/>
    </row>
    <row r="14">
      <c r="A14" s="10" t="n"/>
      <c r="B14" s="10" t="n"/>
      <c r="C14" s="10" t="n"/>
      <c r="D14" s="11" t="n"/>
      <c r="E14" s="11" t="n"/>
      <c r="F14" s="11" t="n"/>
      <c r="G14" s="11">
        <f>D14+E14+F14</f>
        <v/>
      </c>
      <c r="H14" s="11" t="n"/>
      <c r="I14" s="11" t="n"/>
      <c r="J14" s="11">
        <f>H14+I14-D14</f>
        <v/>
      </c>
      <c r="K14" s="10">
        <f>IF(J14=0,"OK",IF(J14&lt;0,"Недостача","Излишек"))</f>
        <v/>
      </c>
      <c r="L14" s="10" t="n"/>
    </row>
    <row r="15">
      <c r="A15" s="10" t="n"/>
      <c r="B15" s="10" t="n"/>
      <c r="C15" s="10" t="n"/>
      <c r="D15" s="11" t="n"/>
      <c r="E15" s="11" t="n"/>
      <c r="F15" s="11" t="n"/>
      <c r="G15" s="11">
        <f>D15+E15+F15</f>
        <v/>
      </c>
      <c r="H15" s="11" t="n"/>
      <c r="I15" s="11" t="n"/>
      <c r="J15" s="11">
        <f>H15+I15-D15</f>
        <v/>
      </c>
      <c r="K15" s="10">
        <f>IF(J15=0,"OK",IF(J15&lt;0,"Недостача","Излишек"))</f>
        <v/>
      </c>
      <c r="L15" s="10" t="n"/>
    </row>
    <row r="16">
      <c r="A16" s="10" t="n"/>
      <c r="B16" s="10" t="n"/>
      <c r="C16" s="10" t="n"/>
      <c r="D16" s="11" t="n"/>
      <c r="E16" s="11" t="n"/>
      <c r="F16" s="11" t="n"/>
      <c r="G16" s="11">
        <f>D16+E16+F16</f>
        <v/>
      </c>
      <c r="H16" s="11" t="n"/>
      <c r="I16" s="11" t="n"/>
      <c r="J16" s="11">
        <f>H16+I16-D16</f>
        <v/>
      </c>
      <c r="K16" s="10">
        <f>IF(J16=0,"OK",IF(J16&lt;0,"Недостача","Излишек"))</f>
        <v/>
      </c>
      <c r="L16" s="10" t="n"/>
    </row>
    <row r="17">
      <c r="A17" s="10" t="n"/>
      <c r="B17" s="10" t="n"/>
      <c r="C17" s="10" t="n"/>
      <c r="D17" s="11" t="n"/>
      <c r="E17" s="11" t="n"/>
      <c r="F17" s="11" t="n"/>
      <c r="G17" s="11">
        <f>D17+E17+F17</f>
        <v/>
      </c>
      <c r="H17" s="11" t="n"/>
      <c r="I17" s="11" t="n"/>
      <c r="J17" s="11">
        <f>H17+I17-D17</f>
        <v/>
      </c>
      <c r="K17" s="10">
        <f>IF(J17=0,"OK",IF(J17&lt;0,"Недостача","Излишек"))</f>
        <v/>
      </c>
      <c r="L17" s="10" t="n"/>
    </row>
    <row r="18">
      <c r="A18" s="10" t="n"/>
      <c r="B18" s="10" t="n"/>
      <c r="C18" s="10" t="n"/>
      <c r="D18" s="11" t="n"/>
      <c r="E18" s="11" t="n"/>
      <c r="F18" s="11" t="n"/>
      <c r="G18" s="11">
        <f>D18+E18+F18</f>
        <v/>
      </c>
      <c r="H18" s="11" t="n"/>
      <c r="I18" s="11" t="n"/>
      <c r="J18" s="11">
        <f>H18+I18-D18</f>
        <v/>
      </c>
      <c r="K18" s="10">
        <f>IF(J18=0,"OK",IF(J18&lt;0,"Недостача","Излишек"))</f>
        <v/>
      </c>
      <c r="L18" s="10" t="n"/>
    </row>
    <row r="19">
      <c r="A19" s="10" t="n"/>
      <c r="B19" s="10" t="n"/>
      <c r="C19" s="10" t="n"/>
      <c r="D19" s="11" t="n"/>
      <c r="E19" s="11" t="n"/>
      <c r="F19" s="11" t="n"/>
      <c r="G19" s="11">
        <f>D19+E19+F19</f>
        <v/>
      </c>
      <c r="H19" s="11" t="n"/>
      <c r="I19" s="11" t="n"/>
      <c r="J19" s="11">
        <f>H19+I19-D19</f>
        <v/>
      </c>
      <c r="K19" s="10">
        <f>IF(J19=0,"OK",IF(J19&lt;0,"Недостача","Излишек"))</f>
        <v/>
      </c>
      <c r="L19" s="10" t="n"/>
    </row>
    <row r="20">
      <c r="A20" s="10" t="n"/>
      <c r="B20" s="10" t="n"/>
      <c r="C20" s="10" t="n"/>
      <c r="D20" s="11" t="n"/>
      <c r="E20" s="11" t="n"/>
      <c r="F20" s="11" t="n"/>
      <c r="G20" s="11">
        <f>D20+E20+F20</f>
        <v/>
      </c>
      <c r="H20" s="11" t="n"/>
      <c r="I20" s="11" t="n"/>
      <c r="J20" s="11">
        <f>H20+I20-D20</f>
        <v/>
      </c>
      <c r="K20" s="10">
        <f>IF(J20=0,"OK",IF(J20&lt;0,"Недостача","Излишек"))</f>
        <v/>
      </c>
      <c r="L20" s="10" t="n"/>
    </row>
    <row r="21">
      <c r="A21" s="10" t="n"/>
      <c r="B21" s="10" t="n"/>
      <c r="C21" s="10" t="n"/>
      <c r="D21" s="11" t="n"/>
      <c r="E21" s="11" t="n"/>
      <c r="F21" s="11" t="n"/>
      <c r="G21" s="11">
        <f>D21+E21+F21</f>
        <v/>
      </c>
      <c r="H21" s="11" t="n"/>
      <c r="I21" s="11" t="n"/>
      <c r="J21" s="11">
        <f>H21+I21-D21</f>
        <v/>
      </c>
      <c r="K21" s="10">
        <f>IF(J21=0,"OK",IF(J21&lt;0,"Недостача","Излишек"))</f>
        <v/>
      </c>
      <c r="L21" s="10" t="n"/>
    </row>
    <row r="22">
      <c r="A22" s="10" t="n"/>
      <c r="B22" s="10" t="n"/>
      <c r="C22" s="10" t="n"/>
      <c r="D22" s="11" t="n"/>
      <c r="E22" s="11" t="n"/>
      <c r="F22" s="11" t="n"/>
      <c r="G22" s="11">
        <f>D22+E22+F22</f>
        <v/>
      </c>
      <c r="H22" s="11" t="n"/>
      <c r="I22" s="11" t="n"/>
      <c r="J22" s="11">
        <f>H22+I22-D22</f>
        <v/>
      </c>
      <c r="K22" s="10">
        <f>IF(J22=0,"OK",IF(J22&lt;0,"Недостача","Излишек"))</f>
        <v/>
      </c>
      <c r="L22" s="10" t="n"/>
    </row>
    <row r="23">
      <c r="A23" s="10" t="n"/>
      <c r="B23" s="10" t="n"/>
      <c r="C23" s="10" t="n"/>
      <c r="D23" s="11" t="n"/>
      <c r="E23" s="11" t="n"/>
      <c r="F23" s="11" t="n"/>
      <c r="G23" s="11">
        <f>D23+E23+F23</f>
        <v/>
      </c>
      <c r="H23" s="11" t="n"/>
      <c r="I23" s="11" t="n"/>
      <c r="J23" s="11">
        <f>H23+I23-D23</f>
        <v/>
      </c>
      <c r="K23" s="10">
        <f>IF(J23=0,"OK",IF(J23&lt;0,"Недостача","Излишек"))</f>
        <v/>
      </c>
      <c r="L23" s="10" t="n"/>
    </row>
    <row r="24">
      <c r="A24" s="10" t="n"/>
      <c r="B24" s="10" t="n"/>
      <c r="C24" s="10" t="n"/>
      <c r="D24" s="11" t="n"/>
      <c r="E24" s="11" t="n"/>
      <c r="F24" s="11" t="n"/>
      <c r="G24" s="11">
        <f>D24+E24+F24</f>
        <v/>
      </c>
      <c r="H24" s="11" t="n"/>
      <c r="I24" s="11" t="n"/>
      <c r="J24" s="11">
        <f>H24+I24-D24</f>
        <v/>
      </c>
      <c r="K24" s="10">
        <f>IF(J24=0,"OK",IF(J24&lt;0,"Недостача","Излишек"))</f>
        <v/>
      </c>
      <c r="L24" s="10" t="n"/>
    </row>
    <row r="25">
      <c r="A25" s="10" t="n"/>
      <c r="B25" s="10" t="n"/>
      <c r="C25" s="10" t="n"/>
      <c r="D25" s="11" t="n"/>
      <c r="E25" s="11" t="n"/>
      <c r="F25" s="11" t="n"/>
      <c r="G25" s="11">
        <f>D25+E25+F25</f>
        <v/>
      </c>
      <c r="H25" s="11" t="n"/>
      <c r="I25" s="11" t="n"/>
      <c r="J25" s="11">
        <f>H25+I25-D25</f>
        <v/>
      </c>
      <c r="K25" s="10">
        <f>IF(J25=0,"OK",IF(J25&lt;0,"Недостача","Излишек"))</f>
        <v/>
      </c>
      <c r="L25" s="10" t="n"/>
    </row>
    <row r="26">
      <c r="A26" s="10" t="n"/>
      <c r="B26" s="10" t="n"/>
      <c r="C26" s="10" t="n"/>
      <c r="D26" s="11" t="n"/>
      <c r="E26" s="11" t="n"/>
      <c r="F26" s="11" t="n"/>
      <c r="G26" s="11">
        <f>D26+E26+F26</f>
        <v/>
      </c>
      <c r="H26" s="11" t="n"/>
      <c r="I26" s="11" t="n"/>
      <c r="J26" s="11">
        <f>H26+I26-D26</f>
        <v/>
      </c>
      <c r="K26" s="10">
        <f>IF(J26=0,"OK",IF(J26&lt;0,"Недостача","Излишек"))</f>
        <v/>
      </c>
      <c r="L26" s="10" t="n"/>
    </row>
    <row r="27">
      <c r="A27" s="10" t="n"/>
      <c r="B27" s="10" t="n"/>
      <c r="C27" s="10" t="n"/>
      <c r="D27" s="11" t="n"/>
      <c r="E27" s="11" t="n"/>
      <c r="F27" s="11" t="n"/>
      <c r="G27" s="11">
        <f>D27+E27+F27</f>
        <v/>
      </c>
      <c r="H27" s="11" t="n"/>
      <c r="I27" s="11" t="n"/>
      <c r="J27" s="11">
        <f>H27+I27-D27</f>
        <v/>
      </c>
      <c r="K27" s="10">
        <f>IF(J27=0,"OK",IF(J27&lt;0,"Недостача","Излишек"))</f>
        <v/>
      </c>
      <c r="L27" s="10" t="n"/>
    </row>
    <row r="28">
      <c r="A28" s="10" t="n"/>
      <c r="B28" s="10" t="n"/>
      <c r="C28" s="10" t="n"/>
      <c r="D28" s="11" t="n"/>
      <c r="E28" s="11" t="n"/>
      <c r="F28" s="11" t="n"/>
      <c r="G28" s="11">
        <f>D28+E28+F28</f>
        <v/>
      </c>
      <c r="H28" s="11" t="n"/>
      <c r="I28" s="11" t="n"/>
      <c r="J28" s="11">
        <f>H28+I28-D28</f>
        <v/>
      </c>
      <c r="K28" s="10">
        <f>IF(J28=0,"OK",IF(J28&lt;0,"Недостача","Излишек"))</f>
        <v/>
      </c>
      <c r="L28" s="10" t="n"/>
    </row>
    <row r="29">
      <c r="A29" s="10" t="n"/>
      <c r="B29" s="10" t="n"/>
      <c r="C29" s="10" t="n"/>
      <c r="D29" s="11" t="n"/>
      <c r="E29" s="11" t="n"/>
      <c r="F29" s="11" t="n"/>
      <c r="G29" s="11">
        <f>D29+E29+F29</f>
        <v/>
      </c>
      <c r="H29" s="11" t="n"/>
      <c r="I29" s="11" t="n"/>
      <c r="J29" s="11">
        <f>H29+I29-D29</f>
        <v/>
      </c>
      <c r="K29" s="10">
        <f>IF(J29=0,"OK",IF(J29&lt;0,"Недостача","Излишек"))</f>
        <v/>
      </c>
      <c r="L29" s="10" t="n"/>
    </row>
    <row r="30">
      <c r="A30" s="10" t="n"/>
      <c r="B30" s="10" t="n"/>
      <c r="C30" s="10" t="n"/>
      <c r="D30" s="11" t="n"/>
      <c r="E30" s="11" t="n"/>
      <c r="F30" s="11" t="n"/>
      <c r="G30" s="11">
        <f>D30+E30+F30</f>
        <v/>
      </c>
      <c r="H30" s="11" t="n"/>
      <c r="I30" s="11" t="n"/>
      <c r="J30" s="11">
        <f>H30+I30-D30</f>
        <v/>
      </c>
      <c r="K30" s="10">
        <f>IF(J30=0,"OK",IF(J30&lt;0,"Недостача","Излишек"))</f>
        <v/>
      </c>
      <c r="L30" s="10" t="n"/>
    </row>
    <row r="31">
      <c r="A31" s="10" t="n"/>
      <c r="B31" s="10" t="n"/>
      <c r="C31" s="10" t="n"/>
      <c r="D31" s="11" t="n"/>
      <c r="E31" s="11" t="n"/>
      <c r="F31" s="11" t="n"/>
      <c r="G31" s="11">
        <f>D31+E31+F31</f>
        <v/>
      </c>
      <c r="H31" s="11" t="n"/>
      <c r="I31" s="11" t="n"/>
      <c r="J31" s="11">
        <f>H31+I31-D31</f>
        <v/>
      </c>
      <c r="K31" s="10">
        <f>IF(J31=0,"OK",IF(J31&lt;0,"Недостача","Излишек"))</f>
        <v/>
      </c>
      <c r="L31" s="10" t="n"/>
    </row>
    <row r="32">
      <c r="A32" s="10" t="n"/>
      <c r="B32" s="10" t="n"/>
      <c r="C32" s="10" t="n"/>
      <c r="D32" s="11" t="n"/>
      <c r="E32" s="11" t="n"/>
      <c r="F32" s="11" t="n"/>
      <c r="G32" s="11">
        <f>D32+E32+F32</f>
        <v/>
      </c>
      <c r="H32" s="11" t="n"/>
      <c r="I32" s="11" t="n"/>
      <c r="J32" s="11">
        <f>H32+I32-D32</f>
        <v/>
      </c>
      <c r="K32" s="10">
        <f>IF(J32=0,"OK",IF(J32&lt;0,"Недостача","Излишек"))</f>
        <v/>
      </c>
      <c r="L32" s="10" t="n"/>
    </row>
    <row r="33">
      <c r="A33" s="10" t="n"/>
      <c r="B33" s="10" t="n"/>
      <c r="C33" s="10" t="n"/>
      <c r="D33" s="11" t="n"/>
      <c r="E33" s="11" t="n"/>
      <c r="F33" s="11" t="n"/>
      <c r="G33" s="11">
        <f>D33+E33+F33</f>
        <v/>
      </c>
      <c r="H33" s="11" t="n"/>
      <c r="I33" s="11" t="n"/>
      <c r="J33" s="11">
        <f>H33+I33-D33</f>
        <v/>
      </c>
      <c r="K33" s="10">
        <f>IF(J33=0,"OK",IF(J33&lt;0,"Недостача","Излишек"))</f>
        <v/>
      </c>
      <c r="L33" s="10" t="n"/>
    </row>
    <row r="34">
      <c r="A34" s="10" t="n"/>
      <c r="B34" s="10" t="n"/>
      <c r="C34" s="10" t="n"/>
      <c r="D34" s="11" t="n"/>
      <c r="E34" s="11" t="n"/>
      <c r="F34" s="11" t="n"/>
      <c r="G34" s="11">
        <f>D34+E34+F34</f>
        <v/>
      </c>
      <c r="H34" s="11" t="n"/>
      <c r="I34" s="11" t="n"/>
      <c r="J34" s="11">
        <f>H34+I34-D34</f>
        <v/>
      </c>
      <c r="K34" s="10">
        <f>IF(J34=0,"OK",IF(J34&lt;0,"Недостача","Излишек"))</f>
        <v/>
      </c>
      <c r="L34" s="10" t="n"/>
    </row>
    <row r="35">
      <c r="A35" s="10" t="n"/>
      <c r="B35" s="10" t="n"/>
      <c r="C35" s="10" t="n"/>
      <c r="D35" s="11" t="n"/>
      <c r="E35" s="11" t="n"/>
      <c r="F35" s="11" t="n"/>
      <c r="G35" s="11">
        <f>D35+E35+F35</f>
        <v/>
      </c>
      <c r="H35" s="11" t="n"/>
      <c r="I35" s="11" t="n"/>
      <c r="J35" s="11">
        <f>H35+I35-D35</f>
        <v/>
      </c>
      <c r="K35" s="10">
        <f>IF(J35=0,"OK",IF(J35&lt;0,"Недостача","Излишек"))</f>
        <v/>
      </c>
      <c r="L35" s="10" t="n"/>
    </row>
    <row r="36">
      <c r="A36" s="10" t="n"/>
      <c r="B36" s="10" t="n"/>
      <c r="C36" s="10" t="n"/>
      <c r="D36" s="11" t="n"/>
      <c r="E36" s="11" t="n"/>
      <c r="F36" s="11" t="n"/>
      <c r="G36" s="11">
        <f>D36+E36+F36</f>
        <v/>
      </c>
      <c r="H36" s="11" t="n"/>
      <c r="I36" s="11" t="n"/>
      <c r="J36" s="11">
        <f>H36+I36-D36</f>
        <v/>
      </c>
      <c r="K36" s="10">
        <f>IF(J36=0,"OK",IF(J36&lt;0,"Недостача","Излишек"))</f>
        <v/>
      </c>
      <c r="L36" s="10" t="n"/>
    </row>
    <row r="37">
      <c r="A37" s="10" t="n"/>
      <c r="B37" s="10" t="n"/>
      <c r="C37" s="10" t="n"/>
      <c r="D37" s="11" t="n"/>
      <c r="E37" s="11" t="n"/>
      <c r="F37" s="11" t="n"/>
      <c r="G37" s="11">
        <f>D37+E37+F37</f>
        <v/>
      </c>
      <c r="H37" s="11" t="n"/>
      <c r="I37" s="11" t="n"/>
      <c r="J37" s="11">
        <f>H37+I37-D37</f>
        <v/>
      </c>
      <c r="K37" s="10">
        <f>IF(J37=0,"OK",IF(J37&lt;0,"Недостача","Излишек"))</f>
        <v/>
      </c>
      <c r="L37" s="10" t="n"/>
    </row>
    <row r="38">
      <c r="A38" s="10" t="n"/>
      <c r="B38" s="10" t="n"/>
      <c r="C38" s="10" t="n"/>
      <c r="D38" s="11" t="n"/>
      <c r="E38" s="11" t="n"/>
      <c r="F38" s="11" t="n"/>
      <c r="G38" s="11">
        <f>D38+E38+F38</f>
        <v/>
      </c>
      <c r="H38" s="11" t="n"/>
      <c r="I38" s="11" t="n"/>
      <c r="J38" s="11">
        <f>H38+I38-D38</f>
        <v/>
      </c>
      <c r="K38" s="10">
        <f>IF(J38=0,"OK",IF(J38&lt;0,"Недостача","Излишек"))</f>
        <v/>
      </c>
      <c r="L38" s="10" t="n"/>
    </row>
    <row r="39">
      <c r="A39" s="10" t="n"/>
      <c r="B39" s="10" t="n"/>
      <c r="C39" s="10" t="n"/>
      <c r="D39" s="11" t="n"/>
      <c r="E39" s="11" t="n"/>
      <c r="F39" s="11" t="n"/>
      <c r="G39" s="11">
        <f>D39+E39+F39</f>
        <v/>
      </c>
      <c r="H39" s="11" t="n"/>
      <c r="I39" s="11" t="n"/>
      <c r="J39" s="11">
        <f>H39+I39-D39</f>
        <v/>
      </c>
      <c r="K39" s="10">
        <f>IF(J39=0,"OK",IF(J39&lt;0,"Недостача","Излишек"))</f>
        <v/>
      </c>
      <c r="L39" s="10" t="n"/>
    </row>
    <row r="40">
      <c r="A40" s="10" t="n"/>
      <c r="B40" s="10" t="n"/>
      <c r="C40" s="10" t="n"/>
      <c r="D40" s="11" t="n"/>
      <c r="E40" s="11" t="n"/>
      <c r="F40" s="11" t="n"/>
      <c r="G40" s="11">
        <f>D40+E40+F40</f>
        <v/>
      </c>
      <c r="H40" s="11" t="n"/>
      <c r="I40" s="11" t="n"/>
      <c r="J40" s="11">
        <f>H40+I40-D40</f>
        <v/>
      </c>
      <c r="K40" s="10">
        <f>IF(J40=0,"OK",IF(J40&lt;0,"Недостача","Излишек"))</f>
        <v/>
      </c>
      <c r="L40" s="10" t="n"/>
    </row>
    <row r="41">
      <c r="A41" s="10" t="n"/>
      <c r="B41" s="10" t="n"/>
      <c r="C41" s="10" t="n"/>
      <c r="D41" s="11" t="n"/>
      <c r="E41" s="11" t="n"/>
      <c r="F41" s="11" t="n"/>
      <c r="G41" s="11">
        <f>D41+E41+F41</f>
        <v/>
      </c>
      <c r="H41" s="11" t="n"/>
      <c r="I41" s="11" t="n"/>
      <c r="J41" s="11">
        <f>H41+I41-D41</f>
        <v/>
      </c>
      <c r="K41" s="10">
        <f>IF(J41=0,"OK",IF(J41&lt;0,"Недостача","Излишек"))</f>
        <v/>
      </c>
      <c r="L41" s="10" t="n"/>
    </row>
    <row r="42">
      <c r="A42" s="10" t="n"/>
      <c r="B42" s="10" t="n"/>
      <c r="C42" s="10" t="n"/>
      <c r="D42" s="11" t="n"/>
      <c r="E42" s="11" t="n"/>
      <c r="F42" s="11" t="n"/>
      <c r="G42" s="11">
        <f>D42+E42+F42</f>
        <v/>
      </c>
      <c r="H42" s="11" t="n"/>
      <c r="I42" s="11" t="n"/>
      <c r="J42" s="11">
        <f>H42+I42-D42</f>
        <v/>
      </c>
      <c r="K42" s="10">
        <f>IF(J42=0,"OK",IF(J42&lt;0,"Недостача","Излишек"))</f>
        <v/>
      </c>
      <c r="L42" s="10" t="n"/>
    </row>
    <row r="43">
      <c r="A43" s="10" t="n"/>
      <c r="B43" s="10" t="n"/>
      <c r="C43" s="10" t="n"/>
      <c r="D43" s="11" t="n"/>
      <c r="E43" s="11" t="n"/>
      <c r="F43" s="11" t="n"/>
      <c r="G43" s="11">
        <f>D43+E43+F43</f>
        <v/>
      </c>
      <c r="H43" s="11" t="n"/>
      <c r="I43" s="11" t="n"/>
      <c r="J43" s="11">
        <f>H43+I43-D43</f>
        <v/>
      </c>
      <c r="K43" s="10">
        <f>IF(J43=0,"OK",IF(J43&lt;0,"Недостача","Излишек"))</f>
        <v/>
      </c>
      <c r="L43" s="10" t="n"/>
    </row>
    <row r="44">
      <c r="A44" s="10" t="n"/>
      <c r="B44" s="10" t="n"/>
      <c r="C44" s="10" t="n"/>
      <c r="D44" s="11" t="n"/>
      <c r="E44" s="11" t="n"/>
      <c r="F44" s="11" t="n"/>
      <c r="G44" s="11">
        <f>D44+E44+F44</f>
        <v/>
      </c>
      <c r="H44" s="11" t="n"/>
      <c r="I44" s="11" t="n"/>
      <c r="J44" s="11">
        <f>H44+I44-D44</f>
        <v/>
      </c>
      <c r="K44" s="10">
        <f>IF(J44=0,"OK",IF(J44&lt;0,"Недостача","Излишек"))</f>
        <v/>
      </c>
      <c r="L44" s="10" t="n"/>
    </row>
    <row r="45">
      <c r="A45" s="10" t="n"/>
      <c r="B45" s="10" t="n"/>
      <c r="C45" s="10" t="n"/>
      <c r="D45" s="11" t="n"/>
      <c r="E45" s="11" t="n"/>
      <c r="F45" s="11" t="n"/>
      <c r="G45" s="11">
        <f>D45+E45+F45</f>
        <v/>
      </c>
      <c r="H45" s="11" t="n"/>
      <c r="I45" s="11" t="n"/>
      <c r="J45" s="11">
        <f>H45+I45-D45</f>
        <v/>
      </c>
      <c r="K45" s="10">
        <f>IF(J45=0,"OK",IF(J45&lt;0,"Недостача","Излишек"))</f>
        <v/>
      </c>
      <c r="L45" s="10" t="n"/>
    </row>
    <row r="46">
      <c r="A46" s="10" t="n"/>
      <c r="B46" s="10" t="n"/>
      <c r="C46" s="10" t="n"/>
      <c r="D46" s="11" t="n"/>
      <c r="E46" s="11" t="n"/>
      <c r="F46" s="11" t="n"/>
      <c r="G46" s="11">
        <f>D46+E46+F46</f>
        <v/>
      </c>
      <c r="H46" s="11" t="n"/>
      <c r="I46" s="11" t="n"/>
      <c r="J46" s="11">
        <f>H46+I46-D46</f>
        <v/>
      </c>
      <c r="K46" s="10">
        <f>IF(J46=0,"OK",IF(J46&lt;0,"Недостача","Излишек"))</f>
        <v/>
      </c>
      <c r="L46" s="10" t="n"/>
    </row>
    <row r="47">
      <c r="A47" s="10" t="n"/>
      <c r="B47" s="10" t="n"/>
      <c r="C47" s="10" t="n"/>
      <c r="D47" s="11" t="n"/>
      <c r="E47" s="11" t="n"/>
      <c r="F47" s="11" t="n"/>
      <c r="G47" s="11">
        <f>D47+E47+F47</f>
        <v/>
      </c>
      <c r="H47" s="11" t="n"/>
      <c r="I47" s="11" t="n"/>
      <c r="J47" s="11">
        <f>H47+I47-D47</f>
        <v/>
      </c>
      <c r="K47" s="10">
        <f>IF(J47=0,"OK",IF(J47&lt;0,"Недостача","Излишек"))</f>
        <v/>
      </c>
      <c r="L47" s="10" t="n"/>
    </row>
    <row r="48">
      <c r="A48" s="10" t="n"/>
      <c r="B48" s="10" t="n"/>
      <c r="C48" s="10" t="n"/>
      <c r="D48" s="11" t="n"/>
      <c r="E48" s="11" t="n"/>
      <c r="F48" s="11" t="n"/>
      <c r="G48" s="11">
        <f>D48+E48+F48</f>
        <v/>
      </c>
      <c r="H48" s="11" t="n"/>
      <c r="I48" s="11" t="n"/>
      <c r="J48" s="11">
        <f>H48+I48-D48</f>
        <v/>
      </c>
      <c r="K48" s="10">
        <f>IF(J48=0,"OK",IF(J48&lt;0,"Недостача","Излишек"))</f>
        <v/>
      </c>
      <c r="L48" s="10" t="n"/>
    </row>
    <row r="49">
      <c r="A49" s="10" t="n"/>
      <c r="B49" s="10" t="n"/>
      <c r="C49" s="10" t="n"/>
      <c r="D49" s="11" t="n"/>
      <c r="E49" s="11" t="n"/>
      <c r="F49" s="11" t="n"/>
      <c r="G49" s="11">
        <f>D49+E49+F49</f>
        <v/>
      </c>
      <c r="H49" s="11" t="n"/>
      <c r="I49" s="11" t="n"/>
      <c r="J49" s="11">
        <f>H49+I49-D49</f>
        <v/>
      </c>
      <c r="K49" s="10">
        <f>IF(J49=0,"OK",IF(J49&lt;0,"Недостача","Излишек"))</f>
        <v/>
      </c>
      <c r="L49" s="10" t="n"/>
    </row>
    <row r="50">
      <c r="A50" s="10" t="n"/>
      <c r="B50" s="10" t="n"/>
      <c r="C50" s="10" t="n"/>
      <c r="D50" s="11" t="n"/>
      <c r="E50" s="11" t="n"/>
      <c r="F50" s="11" t="n"/>
      <c r="G50" s="11">
        <f>D50+E50+F50</f>
        <v/>
      </c>
      <c r="H50" s="11" t="n"/>
      <c r="I50" s="11" t="n"/>
      <c r="J50" s="11">
        <f>H50+I50-D50</f>
        <v/>
      </c>
      <c r="K50" s="10">
        <f>IF(J50=0,"OK",IF(J50&lt;0,"Недостача","Излишек"))</f>
        <v/>
      </c>
      <c r="L50" s="10" t="n"/>
    </row>
    <row r="51">
      <c r="A51" s="10" t="n"/>
      <c r="B51" s="10" t="n"/>
      <c r="C51" s="10" t="n"/>
      <c r="D51" s="11" t="n"/>
      <c r="E51" s="11" t="n"/>
      <c r="F51" s="11" t="n"/>
      <c r="G51" s="11">
        <f>D51+E51+F51</f>
        <v/>
      </c>
      <c r="H51" s="11" t="n"/>
      <c r="I51" s="11" t="n"/>
      <c r="J51" s="11">
        <f>H51+I51-D51</f>
        <v/>
      </c>
      <c r="K51" s="10">
        <f>IF(J51=0,"OK",IF(J51&lt;0,"Недостача","Излишек"))</f>
        <v/>
      </c>
      <c r="L51" s="10" t="n"/>
    </row>
    <row r="52">
      <c r="A52" s="10" t="n"/>
      <c r="B52" s="10" t="n"/>
      <c r="C52" s="10" t="n"/>
      <c r="D52" s="11" t="n"/>
      <c r="E52" s="11" t="n"/>
      <c r="F52" s="11" t="n"/>
      <c r="G52" s="11">
        <f>D52+E52+F52</f>
        <v/>
      </c>
      <c r="H52" s="11" t="n"/>
      <c r="I52" s="11" t="n"/>
      <c r="J52" s="11">
        <f>H52+I52-D52</f>
        <v/>
      </c>
      <c r="K52" s="10">
        <f>IF(J52=0,"OK",IF(J52&lt;0,"Недостача","Излишек"))</f>
        <v/>
      </c>
      <c r="L52" s="10" t="n"/>
    </row>
    <row r="53">
      <c r="A53" s="10" t="n"/>
      <c r="B53" s="10" t="n"/>
      <c r="C53" s="10" t="n"/>
      <c r="D53" s="11" t="n"/>
      <c r="E53" s="11" t="n"/>
      <c r="F53" s="11" t="n"/>
      <c r="G53" s="11">
        <f>D53+E53+F53</f>
        <v/>
      </c>
      <c r="H53" s="11" t="n"/>
      <c r="I53" s="11" t="n"/>
      <c r="J53" s="11">
        <f>H53+I53-D53</f>
        <v/>
      </c>
      <c r="K53" s="10">
        <f>IF(J53=0,"OK",IF(J53&lt;0,"Недостача","Излишек"))</f>
        <v/>
      </c>
      <c r="L53" s="10" t="n"/>
    </row>
    <row r="54">
      <c r="A54" s="10" t="n"/>
      <c r="B54" s="10" t="n"/>
      <c r="C54" s="10" t="n"/>
      <c r="D54" s="11" t="n"/>
      <c r="E54" s="11" t="n"/>
      <c r="F54" s="11" t="n"/>
      <c r="G54" s="11">
        <f>D54+E54+F54</f>
        <v/>
      </c>
      <c r="H54" s="11" t="n"/>
      <c r="I54" s="11" t="n"/>
      <c r="J54" s="11">
        <f>H54+I54-D54</f>
        <v/>
      </c>
      <c r="K54" s="10">
        <f>IF(J54=0,"OK",IF(J54&lt;0,"Недостача","Излишек"))</f>
        <v/>
      </c>
      <c r="L54" s="10" t="n"/>
    </row>
    <row r="55">
      <c r="A55" s="10" t="n"/>
      <c r="B55" s="10" t="n"/>
      <c r="C55" s="10" t="n"/>
      <c r="D55" s="11" t="n"/>
      <c r="E55" s="11" t="n"/>
      <c r="F55" s="11" t="n"/>
      <c r="G55" s="11">
        <f>D55+E55+F55</f>
        <v/>
      </c>
      <c r="H55" s="11" t="n"/>
      <c r="I55" s="11" t="n"/>
      <c r="J55" s="11">
        <f>H55+I55-D55</f>
        <v/>
      </c>
      <c r="K55" s="10">
        <f>IF(J55=0,"OK",IF(J55&lt;0,"Недостача","Излишек"))</f>
        <v/>
      </c>
      <c r="L55" s="10" t="n"/>
    </row>
    <row r="56">
      <c r="A56" s="10" t="n"/>
      <c r="B56" s="10" t="n"/>
      <c r="C56" s="10" t="n"/>
      <c r="D56" s="11" t="n"/>
      <c r="E56" s="11" t="n"/>
      <c r="F56" s="11" t="n"/>
      <c r="G56" s="11">
        <f>D56+E56+F56</f>
        <v/>
      </c>
      <c r="H56" s="11" t="n"/>
      <c r="I56" s="11" t="n"/>
      <c r="J56" s="11">
        <f>H56+I56-D56</f>
        <v/>
      </c>
      <c r="K56" s="10">
        <f>IF(J56=0,"OK",IF(J56&lt;0,"Недостача","Излишек"))</f>
        <v/>
      </c>
      <c r="L56" s="10" t="n"/>
    </row>
    <row r="57">
      <c r="A57" s="10" t="n"/>
      <c r="B57" s="10" t="n"/>
      <c r="C57" s="10" t="n"/>
      <c r="D57" s="11" t="n"/>
      <c r="E57" s="11" t="n"/>
      <c r="F57" s="11" t="n"/>
      <c r="G57" s="11">
        <f>D57+E57+F57</f>
        <v/>
      </c>
      <c r="H57" s="11" t="n"/>
      <c r="I57" s="11" t="n"/>
      <c r="J57" s="11">
        <f>H57+I57-D57</f>
        <v/>
      </c>
      <c r="K57" s="10">
        <f>IF(J57=0,"OK",IF(J57&lt;0,"Недостача","Излишек"))</f>
        <v/>
      </c>
      <c r="L57" s="10" t="n"/>
    </row>
    <row r="58">
      <c r="A58" s="10" t="n"/>
      <c r="B58" s="10" t="n"/>
      <c r="C58" s="10" t="n"/>
      <c r="D58" s="11" t="n"/>
      <c r="E58" s="11" t="n"/>
      <c r="F58" s="11" t="n"/>
      <c r="G58" s="11">
        <f>D58+E58+F58</f>
        <v/>
      </c>
      <c r="H58" s="11" t="n"/>
      <c r="I58" s="11" t="n"/>
      <c r="J58" s="11">
        <f>H58+I58-D58</f>
        <v/>
      </c>
      <c r="K58" s="10">
        <f>IF(J58=0,"OK",IF(J58&lt;0,"Недостача","Излишек"))</f>
        <v/>
      </c>
      <c r="L58" s="10" t="n"/>
    </row>
    <row r="59">
      <c r="A59" s="10" t="n"/>
      <c r="B59" s="10" t="n"/>
      <c r="C59" s="10" t="n"/>
      <c r="D59" s="11" t="n"/>
      <c r="E59" s="11" t="n"/>
      <c r="F59" s="11" t="n"/>
      <c r="G59" s="11">
        <f>D59+E59+F59</f>
        <v/>
      </c>
      <c r="H59" s="11" t="n"/>
      <c r="I59" s="11" t="n"/>
      <c r="J59" s="11">
        <f>H59+I59-D59</f>
        <v/>
      </c>
      <c r="K59" s="10">
        <f>IF(J59=0,"OK",IF(J59&lt;0,"Недостача","Излишек"))</f>
        <v/>
      </c>
      <c r="L59" s="10" t="n"/>
    </row>
    <row r="60">
      <c r="A60" s="10" t="n"/>
      <c r="B60" s="10" t="n"/>
      <c r="C60" s="10" t="n"/>
      <c r="D60" s="11" t="n"/>
      <c r="E60" s="11" t="n"/>
      <c r="F60" s="11" t="n"/>
      <c r="G60" s="11">
        <f>D60+E60+F60</f>
        <v/>
      </c>
      <c r="H60" s="11" t="n"/>
      <c r="I60" s="11" t="n"/>
      <c r="J60" s="11">
        <f>H60+I60-D60</f>
        <v/>
      </c>
      <c r="K60" s="10">
        <f>IF(J60=0,"OK",IF(J60&lt;0,"Недостача","Излишек"))</f>
        <v/>
      </c>
      <c r="L60" s="10" t="n"/>
    </row>
    <row r="61">
      <c r="A61" s="10" t="n"/>
      <c r="B61" s="10" t="n"/>
      <c r="C61" s="10" t="n"/>
      <c r="D61" s="11" t="n"/>
      <c r="E61" s="11" t="n"/>
      <c r="F61" s="11" t="n"/>
      <c r="G61" s="11">
        <f>D61+E61+F61</f>
        <v/>
      </c>
      <c r="H61" s="11" t="n"/>
      <c r="I61" s="11" t="n"/>
      <c r="J61" s="11">
        <f>H61+I61-D61</f>
        <v/>
      </c>
      <c r="K61" s="10">
        <f>IF(J61=0,"OK",IF(J61&lt;0,"Недостача","Излишек"))</f>
        <v/>
      </c>
      <c r="L61" s="10" t="n"/>
    </row>
    <row r="62">
      <c r="A62" s="10" t="n"/>
      <c r="B62" s="10" t="n"/>
      <c r="C62" s="10" t="n"/>
      <c r="D62" s="11" t="n"/>
      <c r="E62" s="11" t="n"/>
      <c r="F62" s="11" t="n"/>
      <c r="G62" s="11">
        <f>D62+E62+F62</f>
        <v/>
      </c>
      <c r="H62" s="11" t="n"/>
      <c r="I62" s="11" t="n"/>
      <c r="J62" s="11">
        <f>H62+I62-D62</f>
        <v/>
      </c>
      <c r="K62" s="10">
        <f>IF(J62=0,"OK",IF(J62&lt;0,"Недостача","Излишек"))</f>
        <v/>
      </c>
      <c r="L62" s="10" t="n"/>
    </row>
    <row r="63">
      <c r="A63" s="10" t="n"/>
      <c r="B63" s="10" t="n"/>
      <c r="C63" s="10" t="n"/>
      <c r="D63" s="11" t="n"/>
      <c r="E63" s="11" t="n"/>
      <c r="F63" s="11" t="n"/>
      <c r="G63" s="11">
        <f>D63+E63+F63</f>
        <v/>
      </c>
      <c r="H63" s="11" t="n"/>
      <c r="I63" s="11" t="n"/>
      <c r="J63" s="11">
        <f>H63+I63-D63</f>
        <v/>
      </c>
      <c r="K63" s="10">
        <f>IF(J63=0,"OK",IF(J63&lt;0,"Недостача","Излишек"))</f>
        <v/>
      </c>
      <c r="L63" s="10" t="n"/>
    </row>
    <row r="64">
      <c r="A64" s="10" t="n"/>
      <c r="B64" s="10" t="n"/>
      <c r="C64" s="10" t="n"/>
      <c r="D64" s="11" t="n"/>
      <c r="E64" s="11" t="n"/>
      <c r="F64" s="11" t="n"/>
      <c r="G64" s="11">
        <f>D64+E64+F64</f>
        <v/>
      </c>
      <c r="H64" s="11" t="n"/>
      <c r="I64" s="11" t="n"/>
      <c r="J64" s="11">
        <f>H64+I64-D64</f>
        <v/>
      </c>
      <c r="K64" s="10">
        <f>IF(J64=0,"OK",IF(J64&lt;0,"Недостача","Излишек"))</f>
        <v/>
      </c>
      <c r="L64" s="10" t="n"/>
    </row>
    <row r="65">
      <c r="A65" s="10" t="n"/>
      <c r="B65" s="10" t="n"/>
      <c r="C65" s="10" t="n"/>
      <c r="D65" s="11" t="n"/>
      <c r="E65" s="11" t="n"/>
      <c r="F65" s="11" t="n"/>
      <c r="G65" s="11">
        <f>D65+E65+F65</f>
        <v/>
      </c>
      <c r="H65" s="11" t="n"/>
      <c r="I65" s="11" t="n"/>
      <c r="J65" s="11">
        <f>H65+I65-D65</f>
        <v/>
      </c>
      <c r="K65" s="10">
        <f>IF(J65=0,"OK",IF(J65&lt;0,"Недостача","Излишек"))</f>
        <v/>
      </c>
      <c r="L65" s="10" t="n"/>
    </row>
    <row r="66">
      <c r="A66" s="10" t="n"/>
      <c r="B66" s="10" t="n"/>
      <c r="C66" s="10" t="n"/>
      <c r="D66" s="11" t="n"/>
      <c r="E66" s="11" t="n"/>
      <c r="F66" s="11" t="n"/>
      <c r="G66" s="11">
        <f>D66+E66+F66</f>
        <v/>
      </c>
      <c r="H66" s="11" t="n"/>
      <c r="I66" s="11" t="n"/>
      <c r="J66" s="11">
        <f>H66+I66-D66</f>
        <v/>
      </c>
      <c r="K66" s="10">
        <f>IF(J66=0,"OK",IF(J66&lt;0,"Недостача","Излишек"))</f>
        <v/>
      </c>
      <c r="L66" s="10" t="n"/>
    </row>
    <row r="67">
      <c r="A67" s="10" t="n"/>
      <c r="B67" s="10" t="n"/>
      <c r="C67" s="10" t="n"/>
      <c r="D67" s="11" t="n"/>
      <c r="E67" s="11" t="n"/>
      <c r="F67" s="11" t="n"/>
      <c r="G67" s="11">
        <f>D67+E67+F67</f>
        <v/>
      </c>
      <c r="H67" s="11" t="n"/>
      <c r="I67" s="11" t="n"/>
      <c r="J67" s="11">
        <f>H67+I67-D67</f>
        <v/>
      </c>
      <c r="K67" s="10">
        <f>IF(J67=0,"OK",IF(J67&lt;0,"Недостача","Излишек"))</f>
        <v/>
      </c>
      <c r="L67" s="10" t="n"/>
    </row>
    <row r="68">
      <c r="A68" s="10" t="n"/>
      <c r="B68" s="10" t="n"/>
      <c r="C68" s="10" t="n"/>
      <c r="D68" s="11" t="n"/>
      <c r="E68" s="11" t="n"/>
      <c r="F68" s="11" t="n"/>
      <c r="G68" s="11">
        <f>D68+E68+F68</f>
        <v/>
      </c>
      <c r="H68" s="11" t="n"/>
      <c r="I68" s="11" t="n"/>
      <c r="J68" s="11">
        <f>H68+I68-D68</f>
        <v/>
      </c>
      <c r="K68" s="10">
        <f>IF(J68=0,"OK",IF(J68&lt;0,"Недостача","Излишек"))</f>
        <v/>
      </c>
      <c r="L68" s="10" t="n"/>
    </row>
    <row r="69">
      <c r="A69" s="10" t="n"/>
      <c r="B69" s="10" t="n"/>
      <c r="C69" s="10" t="n"/>
      <c r="D69" s="11" t="n"/>
      <c r="E69" s="11" t="n"/>
      <c r="F69" s="11" t="n"/>
      <c r="G69" s="11">
        <f>D69+E69+F69</f>
        <v/>
      </c>
      <c r="H69" s="11" t="n"/>
      <c r="I69" s="11" t="n"/>
      <c r="J69" s="11">
        <f>H69+I69-D69</f>
        <v/>
      </c>
      <c r="K69" s="10">
        <f>IF(J69=0,"OK",IF(J69&lt;0,"Недостача","Излишек"))</f>
        <v/>
      </c>
      <c r="L69" s="10" t="n"/>
    </row>
    <row r="70">
      <c r="A70" s="10" t="n"/>
      <c r="B70" s="10" t="n"/>
      <c r="C70" s="10" t="n"/>
      <c r="D70" s="11" t="n"/>
      <c r="E70" s="11" t="n"/>
      <c r="F70" s="11" t="n"/>
      <c r="G70" s="11">
        <f>D70+E70+F70</f>
        <v/>
      </c>
      <c r="H70" s="11" t="n"/>
      <c r="I70" s="11" t="n"/>
      <c r="J70" s="11">
        <f>H70+I70-D70</f>
        <v/>
      </c>
      <c r="K70" s="10">
        <f>IF(J70=0,"OK",IF(J70&lt;0,"Недостача","Излишек"))</f>
        <v/>
      </c>
      <c r="L70" s="10" t="n"/>
    </row>
    <row r="71">
      <c r="A71" s="10" t="n"/>
      <c r="B71" s="10" t="n"/>
      <c r="C71" s="10" t="n"/>
      <c r="D71" s="11" t="n"/>
      <c r="E71" s="11" t="n"/>
      <c r="F71" s="11" t="n"/>
      <c r="G71" s="11">
        <f>D71+E71+F71</f>
        <v/>
      </c>
      <c r="H71" s="11" t="n"/>
      <c r="I71" s="11" t="n"/>
      <c r="J71" s="11">
        <f>H71+I71-D71</f>
        <v/>
      </c>
      <c r="K71" s="10">
        <f>IF(J71=0,"OK",IF(J71&lt;0,"Недостача","Излишек"))</f>
        <v/>
      </c>
      <c r="L71" s="10" t="n"/>
    </row>
    <row r="72">
      <c r="A72" s="10" t="n"/>
      <c r="B72" s="10" t="n"/>
      <c r="C72" s="10" t="n"/>
      <c r="D72" s="11" t="n"/>
      <c r="E72" s="11" t="n"/>
      <c r="F72" s="11" t="n"/>
      <c r="G72" s="11">
        <f>D72+E72+F72</f>
        <v/>
      </c>
      <c r="H72" s="11" t="n"/>
      <c r="I72" s="11" t="n"/>
      <c r="J72" s="11">
        <f>H72+I72-D72</f>
        <v/>
      </c>
      <c r="K72" s="10">
        <f>IF(J72=0,"OK",IF(J72&lt;0,"Недостача","Излишек"))</f>
        <v/>
      </c>
      <c r="L72" s="10" t="n"/>
    </row>
    <row r="73">
      <c r="A73" s="10" t="n"/>
      <c r="B73" s="10" t="n"/>
      <c r="C73" s="10" t="n"/>
      <c r="D73" s="11" t="n"/>
      <c r="E73" s="11" t="n"/>
      <c r="F73" s="11" t="n"/>
      <c r="G73" s="11">
        <f>D73+E73+F73</f>
        <v/>
      </c>
      <c r="H73" s="11" t="n"/>
      <c r="I73" s="11" t="n"/>
      <c r="J73" s="11">
        <f>H73+I73-D73</f>
        <v/>
      </c>
      <c r="K73" s="10">
        <f>IF(J73=0,"OK",IF(J73&lt;0,"Недостача","Излишек"))</f>
        <v/>
      </c>
      <c r="L73" s="10" t="n"/>
    </row>
    <row r="74">
      <c r="A74" s="10" t="n"/>
      <c r="B74" s="10" t="n"/>
      <c r="C74" s="10" t="n"/>
      <c r="D74" s="11" t="n"/>
      <c r="E74" s="11" t="n"/>
      <c r="F74" s="11" t="n"/>
      <c r="G74" s="11">
        <f>D74+E74+F74</f>
        <v/>
      </c>
      <c r="H74" s="11" t="n"/>
      <c r="I74" s="11" t="n"/>
      <c r="J74" s="11">
        <f>H74+I74-D74</f>
        <v/>
      </c>
      <c r="K74" s="10">
        <f>IF(J74=0,"OK",IF(J74&lt;0,"Недостача","Излишек"))</f>
        <v/>
      </c>
      <c r="L74" s="10" t="n"/>
    </row>
    <row r="75">
      <c r="A75" s="10" t="n"/>
      <c r="B75" s="10" t="n"/>
      <c r="C75" s="10" t="n"/>
      <c r="D75" s="11" t="n"/>
      <c r="E75" s="11" t="n"/>
      <c r="F75" s="11" t="n"/>
      <c r="G75" s="11">
        <f>D75+E75+F75</f>
        <v/>
      </c>
      <c r="H75" s="11" t="n"/>
      <c r="I75" s="11" t="n"/>
      <c r="J75" s="11">
        <f>H75+I75-D75</f>
        <v/>
      </c>
      <c r="K75" s="10">
        <f>IF(J75=0,"OK",IF(J75&lt;0,"Недостача","Излишек"))</f>
        <v/>
      </c>
      <c r="L75" s="10" t="n"/>
    </row>
    <row r="76">
      <c r="A76" s="10" t="n"/>
      <c r="B76" s="10" t="n"/>
      <c r="C76" s="10" t="n"/>
      <c r="D76" s="11" t="n"/>
      <c r="E76" s="11" t="n"/>
      <c r="F76" s="11" t="n"/>
      <c r="G76" s="11">
        <f>D76+E76+F76</f>
        <v/>
      </c>
      <c r="H76" s="11" t="n"/>
      <c r="I76" s="11" t="n"/>
      <c r="J76" s="11">
        <f>H76+I76-D76</f>
        <v/>
      </c>
      <c r="K76" s="10">
        <f>IF(J76=0,"OK",IF(J76&lt;0,"Недостача","Излишек"))</f>
        <v/>
      </c>
      <c r="L76" s="10" t="n"/>
    </row>
    <row r="77">
      <c r="A77" s="10" t="n"/>
      <c r="B77" s="10" t="n"/>
      <c r="C77" s="10" t="n"/>
      <c r="D77" s="11" t="n"/>
      <c r="E77" s="11" t="n"/>
      <c r="F77" s="11" t="n"/>
      <c r="G77" s="11">
        <f>D77+E77+F77</f>
        <v/>
      </c>
      <c r="H77" s="11" t="n"/>
      <c r="I77" s="11" t="n"/>
      <c r="J77" s="11">
        <f>H77+I77-D77</f>
        <v/>
      </c>
      <c r="K77" s="10">
        <f>IF(J77=0,"OK",IF(J77&lt;0,"Недостача","Излишек"))</f>
        <v/>
      </c>
      <c r="L77" s="10" t="n"/>
    </row>
    <row r="78">
      <c r="A78" s="10" t="n"/>
      <c r="B78" s="10" t="n"/>
      <c r="C78" s="10" t="n"/>
      <c r="D78" s="11" t="n"/>
      <c r="E78" s="11" t="n"/>
      <c r="F78" s="11" t="n"/>
      <c r="G78" s="11">
        <f>D78+E78+F78</f>
        <v/>
      </c>
      <c r="H78" s="11" t="n"/>
      <c r="I78" s="11" t="n"/>
      <c r="J78" s="11">
        <f>H78+I78-D78</f>
        <v/>
      </c>
      <c r="K78" s="10">
        <f>IF(J78=0,"OK",IF(J78&lt;0,"Недостача","Излишек"))</f>
        <v/>
      </c>
      <c r="L78" s="10" t="n"/>
    </row>
    <row r="79">
      <c r="A79" s="10" t="n"/>
      <c r="B79" s="10" t="n"/>
      <c r="C79" s="10" t="n"/>
      <c r="D79" s="11" t="n"/>
      <c r="E79" s="11" t="n"/>
      <c r="F79" s="11" t="n"/>
      <c r="G79" s="11">
        <f>D79+E79+F79</f>
        <v/>
      </c>
      <c r="H79" s="11" t="n"/>
      <c r="I79" s="11" t="n"/>
      <c r="J79" s="11">
        <f>H79+I79-D79</f>
        <v/>
      </c>
      <c r="K79" s="10">
        <f>IF(J79=0,"OK",IF(J79&lt;0,"Недостача","Излишек"))</f>
        <v/>
      </c>
      <c r="L79" s="10" t="n"/>
    </row>
    <row r="80">
      <c r="A80" s="10" t="n"/>
      <c r="B80" s="10" t="n"/>
      <c r="C80" s="10" t="n"/>
      <c r="D80" s="11" t="n"/>
      <c r="E80" s="11" t="n"/>
      <c r="F80" s="11" t="n"/>
      <c r="G80" s="11">
        <f>D80+E80+F80</f>
        <v/>
      </c>
      <c r="H80" s="11" t="n"/>
      <c r="I80" s="11" t="n"/>
      <c r="J80" s="11">
        <f>H80+I80-D80</f>
        <v/>
      </c>
      <c r="K80" s="10">
        <f>IF(J80=0,"OK",IF(J80&lt;0,"Недостача","Излишек"))</f>
        <v/>
      </c>
      <c r="L80" s="10" t="n"/>
    </row>
    <row r="81">
      <c r="A81" s="10" t="n"/>
      <c r="B81" s="10" t="n"/>
      <c r="C81" s="10" t="n"/>
      <c r="D81" s="11" t="n"/>
      <c r="E81" s="11" t="n"/>
      <c r="F81" s="11" t="n"/>
      <c r="G81" s="11">
        <f>D81+E81+F81</f>
        <v/>
      </c>
      <c r="H81" s="11" t="n"/>
      <c r="I81" s="11" t="n"/>
      <c r="J81" s="11">
        <f>H81+I81-D81</f>
        <v/>
      </c>
      <c r="K81" s="10">
        <f>IF(J81=0,"OK",IF(J81&lt;0,"Недостача","Излишек"))</f>
        <v/>
      </c>
      <c r="L81" s="10" t="n"/>
    </row>
    <row r="82">
      <c r="A82" s="10" t="n"/>
      <c r="B82" s="10" t="n"/>
      <c r="C82" s="10" t="n"/>
      <c r="D82" s="11" t="n"/>
      <c r="E82" s="11" t="n"/>
      <c r="F82" s="11" t="n"/>
      <c r="G82" s="11">
        <f>D82+E82+F82</f>
        <v/>
      </c>
      <c r="H82" s="11" t="n"/>
      <c r="I82" s="11" t="n"/>
      <c r="J82" s="11">
        <f>H82+I82-D82</f>
        <v/>
      </c>
      <c r="K82" s="10">
        <f>IF(J82=0,"OK",IF(J82&lt;0,"Недостача","Излишек"))</f>
        <v/>
      </c>
      <c r="L82" s="10" t="n"/>
    </row>
    <row r="83">
      <c r="A83" s="10" t="n"/>
      <c r="B83" s="10" t="n"/>
      <c r="C83" s="10" t="n"/>
      <c r="D83" s="11" t="n"/>
      <c r="E83" s="11" t="n"/>
      <c r="F83" s="11" t="n"/>
      <c r="G83" s="11">
        <f>D83+E83+F83</f>
        <v/>
      </c>
      <c r="H83" s="11" t="n"/>
      <c r="I83" s="11" t="n"/>
      <c r="J83" s="11">
        <f>H83+I83-D83</f>
        <v/>
      </c>
      <c r="K83" s="10">
        <f>IF(J83=0,"OK",IF(J83&lt;0,"Недостача","Излишек"))</f>
        <v/>
      </c>
      <c r="L83" s="10" t="n"/>
    </row>
    <row r="84">
      <c r="A84" s="10" t="n"/>
      <c r="B84" s="10" t="n"/>
      <c r="C84" s="10" t="n"/>
      <c r="D84" s="11" t="n"/>
      <c r="E84" s="11" t="n"/>
      <c r="F84" s="11" t="n"/>
      <c r="G84" s="11">
        <f>D84+E84+F84</f>
        <v/>
      </c>
      <c r="H84" s="11" t="n"/>
      <c r="I84" s="11" t="n"/>
      <c r="J84" s="11">
        <f>H84+I84-D84</f>
        <v/>
      </c>
      <c r="K84" s="10">
        <f>IF(J84=0,"OK",IF(J84&lt;0,"Недостача","Излишек"))</f>
        <v/>
      </c>
      <c r="L84" s="10" t="n"/>
    </row>
    <row r="85">
      <c r="A85" s="10" t="n"/>
      <c r="B85" s="10" t="n"/>
      <c r="C85" s="10" t="n"/>
      <c r="D85" s="11" t="n"/>
      <c r="E85" s="11" t="n"/>
      <c r="F85" s="11" t="n"/>
      <c r="G85" s="11">
        <f>D85+E85+F85</f>
        <v/>
      </c>
      <c r="H85" s="11" t="n"/>
      <c r="I85" s="11" t="n"/>
      <c r="J85" s="11">
        <f>H85+I85-D85</f>
        <v/>
      </c>
      <c r="K85" s="10">
        <f>IF(J85=0,"OK",IF(J85&lt;0,"Недостача","Излишек"))</f>
        <v/>
      </c>
      <c r="L85" s="10" t="n"/>
    </row>
    <row r="86">
      <c r="A86" s="10" t="n"/>
      <c r="B86" s="10" t="n"/>
      <c r="C86" s="10" t="n"/>
      <c r="D86" s="11" t="n"/>
      <c r="E86" s="11" t="n"/>
      <c r="F86" s="11" t="n"/>
      <c r="G86" s="11">
        <f>D86+E86+F86</f>
        <v/>
      </c>
      <c r="H86" s="11" t="n"/>
      <c r="I86" s="11" t="n"/>
      <c r="J86" s="11">
        <f>H86+I86-D86</f>
        <v/>
      </c>
      <c r="K86" s="10">
        <f>IF(J86=0,"OK",IF(J86&lt;0,"Недостача","Излишек"))</f>
        <v/>
      </c>
      <c r="L86" s="10" t="n"/>
    </row>
    <row r="87">
      <c r="A87" s="10" t="n"/>
      <c r="B87" s="10" t="n"/>
      <c r="C87" s="10" t="n"/>
      <c r="D87" s="11" t="n"/>
      <c r="E87" s="11" t="n"/>
      <c r="F87" s="11" t="n"/>
      <c r="G87" s="11">
        <f>D87+E87+F87</f>
        <v/>
      </c>
      <c r="H87" s="11" t="n"/>
      <c r="I87" s="11" t="n"/>
      <c r="J87" s="11">
        <f>H87+I87-D87</f>
        <v/>
      </c>
      <c r="K87" s="10">
        <f>IF(J87=0,"OK",IF(J87&lt;0,"Недостача","Излишек"))</f>
        <v/>
      </c>
      <c r="L87" s="10" t="n"/>
    </row>
    <row r="88">
      <c r="A88" s="10" t="n"/>
      <c r="B88" s="10" t="n"/>
      <c r="C88" s="10" t="n"/>
      <c r="D88" s="11" t="n"/>
      <c r="E88" s="11" t="n"/>
      <c r="F88" s="11" t="n"/>
      <c r="G88" s="11">
        <f>D88+E88+F88</f>
        <v/>
      </c>
      <c r="H88" s="11" t="n"/>
      <c r="I88" s="11" t="n"/>
      <c r="J88" s="11">
        <f>H88+I88-D88</f>
        <v/>
      </c>
      <c r="K88" s="10">
        <f>IF(J88=0,"OK",IF(J88&lt;0,"Недостача","Излишек"))</f>
        <v/>
      </c>
      <c r="L88" s="10" t="n"/>
    </row>
    <row r="89">
      <c r="A89" s="10" t="n"/>
      <c r="B89" s="10" t="n"/>
      <c r="C89" s="10" t="n"/>
      <c r="D89" s="11" t="n"/>
      <c r="E89" s="11" t="n"/>
      <c r="F89" s="11" t="n"/>
      <c r="G89" s="11">
        <f>D89+E89+F89</f>
        <v/>
      </c>
      <c r="H89" s="11" t="n"/>
      <c r="I89" s="11" t="n"/>
      <c r="J89" s="11">
        <f>H89+I89-D89</f>
        <v/>
      </c>
      <c r="K89" s="10">
        <f>IF(J89=0,"OK",IF(J89&lt;0,"Недостача","Излишек"))</f>
        <v/>
      </c>
      <c r="L89" s="10" t="n"/>
    </row>
    <row r="90">
      <c r="A90" s="10" t="n"/>
      <c r="B90" s="10" t="n"/>
      <c r="C90" s="10" t="n"/>
      <c r="D90" s="11" t="n"/>
      <c r="E90" s="11" t="n"/>
      <c r="F90" s="11" t="n"/>
      <c r="G90" s="11">
        <f>D90+E90+F90</f>
        <v/>
      </c>
      <c r="H90" s="11" t="n"/>
      <c r="I90" s="11" t="n"/>
      <c r="J90" s="11">
        <f>H90+I90-D90</f>
        <v/>
      </c>
      <c r="K90" s="10">
        <f>IF(J90=0,"OK",IF(J90&lt;0,"Недостача","Излишек"))</f>
        <v/>
      </c>
      <c r="L90" s="10" t="n"/>
    </row>
    <row r="91">
      <c r="A91" s="10" t="n"/>
      <c r="B91" s="10" t="n"/>
      <c r="C91" s="10" t="n"/>
      <c r="D91" s="11" t="n"/>
      <c r="E91" s="11" t="n"/>
      <c r="F91" s="11" t="n"/>
      <c r="G91" s="11">
        <f>D91+E91+F91</f>
        <v/>
      </c>
      <c r="H91" s="11" t="n"/>
      <c r="I91" s="11" t="n"/>
      <c r="J91" s="11">
        <f>H91+I91-D91</f>
        <v/>
      </c>
      <c r="K91" s="10">
        <f>IF(J91=0,"OK",IF(J91&lt;0,"Недостача","Излишек"))</f>
        <v/>
      </c>
      <c r="L91" s="10" t="n"/>
    </row>
    <row r="92">
      <c r="A92" s="10" t="n"/>
      <c r="B92" s="10" t="n"/>
      <c r="C92" s="10" t="n"/>
      <c r="D92" s="11" t="n"/>
      <c r="E92" s="11" t="n"/>
      <c r="F92" s="11" t="n"/>
      <c r="G92" s="11">
        <f>D92+E92+F92</f>
        <v/>
      </c>
      <c r="H92" s="11" t="n"/>
      <c r="I92" s="11" t="n"/>
      <c r="J92" s="11">
        <f>H92+I92-D92</f>
        <v/>
      </c>
      <c r="K92" s="10">
        <f>IF(J92=0,"OK",IF(J92&lt;0,"Недостача","Излишек"))</f>
        <v/>
      </c>
      <c r="L92" s="10" t="n"/>
    </row>
    <row r="93">
      <c r="A93" s="10" t="n"/>
      <c r="B93" s="10" t="n"/>
      <c r="C93" s="10" t="n"/>
      <c r="D93" s="11" t="n"/>
      <c r="E93" s="11" t="n"/>
      <c r="F93" s="11" t="n"/>
      <c r="G93" s="11">
        <f>D93+E93+F93</f>
        <v/>
      </c>
      <c r="H93" s="11" t="n"/>
      <c r="I93" s="11" t="n"/>
      <c r="J93" s="11">
        <f>H93+I93-D93</f>
        <v/>
      </c>
      <c r="K93" s="10">
        <f>IF(J93=0,"OK",IF(J93&lt;0,"Недостача","Излишек"))</f>
        <v/>
      </c>
      <c r="L93" s="10" t="n"/>
    </row>
    <row r="94">
      <c r="A94" s="10" t="n"/>
      <c r="B94" s="10" t="n"/>
      <c r="C94" s="10" t="n"/>
      <c r="D94" s="11" t="n"/>
      <c r="E94" s="11" t="n"/>
      <c r="F94" s="11" t="n"/>
      <c r="G94" s="11">
        <f>D94+E94+F94</f>
        <v/>
      </c>
      <c r="H94" s="11" t="n"/>
      <c r="I94" s="11" t="n"/>
      <c r="J94" s="11">
        <f>H94+I94-D94</f>
        <v/>
      </c>
      <c r="K94" s="10">
        <f>IF(J94=0,"OK",IF(J94&lt;0,"Недостача","Излишек"))</f>
        <v/>
      </c>
      <c r="L94" s="10" t="n"/>
    </row>
    <row r="95">
      <c r="A95" s="10" t="n"/>
      <c r="B95" s="10" t="n"/>
      <c r="C95" s="10" t="n"/>
      <c r="D95" s="11" t="n"/>
      <c r="E95" s="11" t="n"/>
      <c r="F95" s="11" t="n"/>
      <c r="G95" s="11">
        <f>D95+E95+F95</f>
        <v/>
      </c>
      <c r="H95" s="11" t="n"/>
      <c r="I95" s="11" t="n"/>
      <c r="J95" s="11">
        <f>H95+I95-D95</f>
        <v/>
      </c>
      <c r="K95" s="10">
        <f>IF(J95=0,"OK",IF(J95&lt;0,"Недостача","Излишек"))</f>
        <v/>
      </c>
      <c r="L95" s="10" t="n"/>
    </row>
    <row r="96">
      <c r="A96" s="10" t="n"/>
      <c r="B96" s="10" t="n"/>
      <c r="C96" s="10" t="n"/>
      <c r="D96" s="11" t="n"/>
      <c r="E96" s="11" t="n"/>
      <c r="F96" s="11" t="n"/>
      <c r="G96" s="11">
        <f>D96+E96+F96</f>
        <v/>
      </c>
      <c r="H96" s="11" t="n"/>
      <c r="I96" s="11" t="n"/>
      <c r="J96" s="11">
        <f>H96+I96-D96</f>
        <v/>
      </c>
      <c r="K96" s="10">
        <f>IF(J96=0,"OK",IF(J96&lt;0,"Недостача","Излишек"))</f>
        <v/>
      </c>
      <c r="L96" s="10" t="n"/>
    </row>
    <row r="97">
      <c r="A97" s="10" t="n"/>
      <c r="B97" s="10" t="n"/>
      <c r="C97" s="10" t="n"/>
      <c r="D97" s="11" t="n"/>
      <c r="E97" s="11" t="n"/>
      <c r="F97" s="11" t="n"/>
      <c r="G97" s="11">
        <f>D97+E97+F97</f>
        <v/>
      </c>
      <c r="H97" s="11" t="n"/>
      <c r="I97" s="11" t="n"/>
      <c r="J97" s="11">
        <f>H97+I97-D97</f>
        <v/>
      </c>
      <c r="K97" s="10">
        <f>IF(J97=0,"OK",IF(J97&lt;0,"Недостача","Излишек"))</f>
        <v/>
      </c>
      <c r="L97" s="10" t="n"/>
    </row>
    <row r="98">
      <c r="A98" s="10" t="n"/>
      <c r="B98" s="10" t="n"/>
      <c r="C98" s="10" t="n"/>
      <c r="D98" s="11" t="n"/>
      <c r="E98" s="11" t="n"/>
      <c r="F98" s="11" t="n"/>
      <c r="G98" s="11">
        <f>D98+E98+F98</f>
        <v/>
      </c>
      <c r="H98" s="11" t="n"/>
      <c r="I98" s="11" t="n"/>
      <c r="J98" s="11">
        <f>H98+I98-D98</f>
        <v/>
      </c>
      <c r="K98" s="10">
        <f>IF(J98=0,"OK",IF(J98&lt;0,"Недостача","Излишек"))</f>
        <v/>
      </c>
      <c r="L98" s="10" t="n"/>
    </row>
    <row r="99">
      <c r="A99" s="10" t="n"/>
      <c r="B99" s="10" t="n"/>
      <c r="C99" s="10" t="n"/>
      <c r="D99" s="11" t="n"/>
      <c r="E99" s="11" t="n"/>
      <c r="F99" s="11" t="n"/>
      <c r="G99" s="11">
        <f>D99+E99+F99</f>
        <v/>
      </c>
      <c r="H99" s="11" t="n"/>
      <c r="I99" s="11" t="n"/>
      <c r="J99" s="11">
        <f>H99+I99-D99</f>
        <v/>
      </c>
      <c r="K99" s="10">
        <f>IF(J99=0,"OK",IF(J99&lt;0,"Недостача","Излишек"))</f>
        <v/>
      </c>
      <c r="L99" s="10" t="n"/>
    </row>
    <row r="100">
      <c r="A100" s="10" t="n"/>
      <c r="B100" s="10" t="n"/>
      <c r="C100" s="10" t="n"/>
      <c r="D100" s="11" t="n"/>
      <c r="E100" s="11" t="n"/>
      <c r="F100" s="11" t="n"/>
      <c r="G100" s="11">
        <f>D100+E100+F100</f>
        <v/>
      </c>
      <c r="H100" s="11" t="n"/>
      <c r="I100" s="11" t="n"/>
      <c r="J100" s="11">
        <f>H100+I100-D100</f>
        <v/>
      </c>
      <c r="K100" s="10">
        <f>IF(J100=0,"OK",IF(J100&lt;0,"Недостача","Излишек"))</f>
        <v/>
      </c>
      <c r="L100" s="10" t="n"/>
    </row>
    <row r="101">
      <c r="A101" s="10" t="n"/>
      <c r="B101" s="10" t="n"/>
      <c r="C101" s="10" t="n"/>
      <c r="D101" s="11" t="n"/>
      <c r="E101" s="11" t="n"/>
      <c r="F101" s="11" t="n"/>
      <c r="G101" s="11">
        <f>D101+E101+F101</f>
        <v/>
      </c>
      <c r="H101" s="11" t="n"/>
      <c r="I101" s="11" t="n"/>
      <c r="J101" s="11">
        <f>H101+I101-D101</f>
        <v/>
      </c>
      <c r="K101" s="10">
        <f>IF(J101=0,"OK",IF(J101&lt;0,"Недостача","Излишек"))</f>
        <v/>
      </c>
      <c r="L101" s="10" t="n"/>
    </row>
    <row r="102">
      <c r="A102" s="10" t="n"/>
      <c r="B102" s="10" t="n"/>
      <c r="C102" s="10" t="n"/>
      <c r="D102" s="11" t="n"/>
      <c r="E102" s="11" t="n"/>
      <c r="F102" s="11" t="n"/>
      <c r="G102" s="11">
        <f>D102+E102+F102</f>
        <v/>
      </c>
      <c r="H102" s="11" t="n"/>
      <c r="I102" s="11" t="n"/>
      <c r="J102" s="11">
        <f>H102+I102-D102</f>
        <v/>
      </c>
      <c r="K102" s="10">
        <f>IF(J102=0,"OK",IF(J102&lt;0,"Недостача","Излишек"))</f>
        <v/>
      </c>
      <c r="L102" s="10" t="n"/>
    </row>
    <row r="103">
      <c r="A103" s="10" t="n"/>
      <c r="B103" s="10" t="n"/>
      <c r="C103" s="10" t="n"/>
      <c r="D103" s="11" t="n"/>
      <c r="E103" s="11" t="n"/>
      <c r="F103" s="11" t="n"/>
      <c r="G103" s="11">
        <f>D103+E103+F103</f>
        <v/>
      </c>
      <c r="H103" s="11" t="n"/>
      <c r="I103" s="11" t="n"/>
      <c r="J103" s="11">
        <f>H103+I103-D103</f>
        <v/>
      </c>
      <c r="K103" s="10">
        <f>IF(J103=0,"OK",IF(J103&lt;0,"Недостача","Излишек"))</f>
        <v/>
      </c>
      <c r="L103" s="10" t="n"/>
    </row>
    <row r="104">
      <c r="A104" s="10" t="n"/>
      <c r="B104" s="10" t="n"/>
      <c r="C104" s="10" t="n"/>
      <c r="D104" s="11" t="n"/>
      <c r="E104" s="11" t="n"/>
      <c r="F104" s="11" t="n"/>
      <c r="G104" s="11">
        <f>D104+E104+F104</f>
        <v/>
      </c>
      <c r="H104" s="11" t="n"/>
      <c r="I104" s="11" t="n"/>
      <c r="J104" s="11">
        <f>H104+I104-D104</f>
        <v/>
      </c>
      <c r="K104" s="10">
        <f>IF(J104=0,"OK",IF(J104&lt;0,"Недостача","Излишек"))</f>
        <v/>
      </c>
      <c r="L104" s="10" t="n"/>
    </row>
    <row r="105">
      <c r="A105" s="10" t="n"/>
      <c r="B105" s="10" t="n"/>
      <c r="C105" s="10" t="n"/>
      <c r="D105" s="11" t="n"/>
      <c r="E105" s="11" t="n"/>
      <c r="F105" s="11" t="n"/>
      <c r="G105" s="11">
        <f>D105+E105+F105</f>
        <v/>
      </c>
      <c r="H105" s="11" t="n"/>
      <c r="I105" s="11" t="n"/>
      <c r="J105" s="11">
        <f>H105+I105-D105</f>
        <v/>
      </c>
      <c r="K105" s="10">
        <f>IF(J105=0,"OK",IF(J105&lt;0,"Недостача","Излишек"))</f>
        <v/>
      </c>
      <c r="L105" s="10" t="n"/>
    </row>
    <row r="106">
      <c r="A106" s="10" t="n"/>
      <c r="B106" s="10" t="n"/>
      <c r="C106" s="10" t="n"/>
      <c r="D106" s="11" t="n"/>
      <c r="E106" s="11" t="n"/>
      <c r="F106" s="11" t="n"/>
      <c r="G106" s="11">
        <f>D106+E106+F106</f>
        <v/>
      </c>
      <c r="H106" s="11" t="n"/>
      <c r="I106" s="11" t="n"/>
      <c r="J106" s="11">
        <f>H106+I106-D106</f>
        <v/>
      </c>
      <c r="K106" s="10">
        <f>IF(J106=0,"OK",IF(J106&lt;0,"Недостача","Излишек"))</f>
        <v/>
      </c>
      <c r="L106" s="10" t="n"/>
    </row>
    <row r="107">
      <c r="A107" s="10" t="n"/>
      <c r="B107" s="10" t="n"/>
      <c r="C107" s="10" t="n"/>
      <c r="D107" s="11" t="n"/>
      <c r="E107" s="11" t="n"/>
      <c r="F107" s="11" t="n"/>
      <c r="G107" s="11">
        <f>D107+E107+F107</f>
        <v/>
      </c>
      <c r="H107" s="11" t="n"/>
      <c r="I107" s="11" t="n"/>
      <c r="J107" s="11">
        <f>H107+I107-D107</f>
        <v/>
      </c>
      <c r="K107" s="10">
        <f>IF(J107=0,"OK",IF(J107&lt;0,"Недостача","Излишек"))</f>
        <v/>
      </c>
      <c r="L107" s="10" t="n"/>
    </row>
    <row r="108">
      <c r="A108" s="10" t="n"/>
      <c r="B108" s="10" t="n"/>
      <c r="C108" s="10" t="n"/>
      <c r="D108" s="11" t="n"/>
      <c r="E108" s="11" t="n"/>
      <c r="F108" s="11" t="n"/>
      <c r="G108" s="11">
        <f>D108+E108+F108</f>
        <v/>
      </c>
      <c r="H108" s="11" t="n"/>
      <c r="I108" s="11" t="n"/>
      <c r="J108" s="11">
        <f>H108+I108-D108</f>
        <v/>
      </c>
      <c r="K108" s="10">
        <f>IF(J108=0,"OK",IF(J108&lt;0,"Недостача","Излишек"))</f>
        <v/>
      </c>
      <c r="L108" s="10" t="n"/>
    </row>
    <row r="109">
      <c r="A109" s="10" t="n"/>
      <c r="B109" s="10" t="n"/>
      <c r="C109" s="10" t="n"/>
      <c r="D109" s="11" t="n"/>
      <c r="E109" s="11" t="n"/>
      <c r="F109" s="11" t="n"/>
      <c r="G109" s="11">
        <f>D109+E109+F109</f>
        <v/>
      </c>
      <c r="H109" s="11" t="n"/>
      <c r="I109" s="11" t="n"/>
      <c r="J109" s="11">
        <f>H109+I109-D109</f>
        <v/>
      </c>
      <c r="K109" s="10">
        <f>IF(J109=0,"OK",IF(J109&lt;0,"Недостача","Излишек"))</f>
        <v/>
      </c>
      <c r="L109" s="10" t="n"/>
    </row>
    <row r="110">
      <c r="A110" s="10" t="n"/>
      <c r="B110" s="10" t="n"/>
      <c r="C110" s="10" t="n"/>
      <c r="D110" s="11" t="n"/>
      <c r="E110" s="11" t="n"/>
      <c r="F110" s="11" t="n"/>
      <c r="G110" s="11">
        <f>D110+E110+F110</f>
        <v/>
      </c>
      <c r="H110" s="11" t="n"/>
      <c r="I110" s="11" t="n"/>
      <c r="J110" s="11">
        <f>H110+I110-D110</f>
        <v/>
      </c>
      <c r="K110" s="10">
        <f>IF(J110=0,"OK",IF(J110&lt;0,"Недостача","Излишек"))</f>
        <v/>
      </c>
      <c r="L110" s="10" t="n"/>
    </row>
    <row r="111">
      <c r="A111" s="10" t="n"/>
      <c r="B111" s="10" t="n"/>
      <c r="C111" s="10" t="n"/>
      <c r="D111" s="11" t="n"/>
      <c r="E111" s="11" t="n"/>
      <c r="F111" s="11" t="n"/>
      <c r="G111" s="11">
        <f>D111+E111+F111</f>
        <v/>
      </c>
      <c r="H111" s="11" t="n"/>
      <c r="I111" s="11" t="n"/>
      <c r="J111" s="11">
        <f>H111+I111-D111</f>
        <v/>
      </c>
      <c r="K111" s="10">
        <f>IF(J111=0,"OK",IF(J111&lt;0,"Недостача","Излишек"))</f>
        <v/>
      </c>
      <c r="L111" s="10" t="n"/>
    </row>
    <row r="112">
      <c r="A112" s="10" t="n"/>
      <c r="B112" s="10" t="n"/>
      <c r="C112" s="10" t="n"/>
      <c r="D112" s="11" t="n"/>
      <c r="E112" s="11" t="n"/>
      <c r="F112" s="11" t="n"/>
      <c r="G112" s="11">
        <f>D112+E112+F112</f>
        <v/>
      </c>
      <c r="H112" s="11" t="n"/>
      <c r="I112" s="11" t="n"/>
      <c r="J112" s="11">
        <f>H112+I112-D112</f>
        <v/>
      </c>
      <c r="K112" s="10">
        <f>IF(J112=0,"OK",IF(J112&lt;0,"Недостача","Излишек"))</f>
        <v/>
      </c>
      <c r="L112" s="10" t="n"/>
    </row>
    <row r="113">
      <c r="A113" s="10" t="n"/>
      <c r="B113" s="10" t="n"/>
      <c r="C113" s="10" t="n"/>
      <c r="D113" s="11" t="n"/>
      <c r="E113" s="11" t="n"/>
      <c r="F113" s="11" t="n"/>
      <c r="G113" s="11">
        <f>D113+E113+F113</f>
        <v/>
      </c>
      <c r="H113" s="11" t="n"/>
      <c r="I113" s="11" t="n"/>
      <c r="J113" s="11">
        <f>H113+I113-D113</f>
        <v/>
      </c>
      <c r="K113" s="10">
        <f>IF(J113=0,"OK",IF(J113&lt;0,"Недостача","Излишек"))</f>
        <v/>
      </c>
      <c r="L113" s="10" t="n"/>
    </row>
    <row r="114">
      <c r="A114" s="10" t="n"/>
      <c r="B114" s="10" t="n"/>
      <c r="C114" s="10" t="n"/>
      <c r="D114" s="11" t="n"/>
      <c r="E114" s="11" t="n"/>
      <c r="F114" s="11" t="n"/>
      <c r="G114" s="11">
        <f>D114+E114+F114</f>
        <v/>
      </c>
      <c r="H114" s="11" t="n"/>
      <c r="I114" s="11" t="n"/>
      <c r="J114" s="11">
        <f>H114+I114-D114</f>
        <v/>
      </c>
      <c r="K114" s="10">
        <f>IF(J114=0,"OK",IF(J114&lt;0,"Недостача","Излишек"))</f>
        <v/>
      </c>
      <c r="L114" s="10" t="n"/>
    </row>
    <row r="115">
      <c r="A115" s="10" t="n"/>
      <c r="B115" s="10" t="n"/>
      <c r="C115" s="10" t="n"/>
      <c r="D115" s="11" t="n"/>
      <c r="E115" s="11" t="n"/>
      <c r="F115" s="11" t="n"/>
      <c r="G115" s="11">
        <f>D115+E115+F115</f>
        <v/>
      </c>
      <c r="H115" s="11" t="n"/>
      <c r="I115" s="11" t="n"/>
      <c r="J115" s="11">
        <f>H115+I115-D115</f>
        <v/>
      </c>
      <c r="K115" s="10">
        <f>IF(J115=0,"OK",IF(J115&lt;0,"Недостача","Излишек"))</f>
        <v/>
      </c>
      <c r="L115" s="10" t="n"/>
    </row>
    <row r="116">
      <c r="A116" s="10" t="n"/>
      <c r="B116" s="10" t="n"/>
      <c r="C116" s="10" t="n"/>
      <c r="D116" s="11" t="n"/>
      <c r="E116" s="11" t="n"/>
      <c r="F116" s="11" t="n"/>
      <c r="G116" s="11">
        <f>D116+E116+F116</f>
        <v/>
      </c>
      <c r="H116" s="11" t="n"/>
      <c r="I116" s="11" t="n"/>
      <c r="J116" s="11">
        <f>H116+I116-D116</f>
        <v/>
      </c>
      <c r="K116" s="10">
        <f>IF(J116=0,"OK",IF(J116&lt;0,"Недостача","Излишек"))</f>
        <v/>
      </c>
      <c r="L116" s="10" t="n"/>
    </row>
    <row r="117">
      <c r="A117" s="10" t="n"/>
      <c r="B117" s="10" t="n"/>
      <c r="C117" s="10" t="n"/>
      <c r="D117" s="11" t="n"/>
      <c r="E117" s="11" t="n"/>
      <c r="F117" s="11" t="n"/>
      <c r="G117" s="11">
        <f>D117+E117+F117</f>
        <v/>
      </c>
      <c r="H117" s="11" t="n"/>
      <c r="I117" s="11" t="n"/>
      <c r="J117" s="11">
        <f>H117+I117-D117</f>
        <v/>
      </c>
      <c r="K117" s="10">
        <f>IF(J117=0,"OK",IF(J117&lt;0,"Недостача","Излишек"))</f>
        <v/>
      </c>
      <c r="L117" s="10" t="n"/>
    </row>
    <row r="118">
      <c r="A118" s="10" t="n"/>
      <c r="B118" s="10" t="n"/>
      <c r="C118" s="10" t="n"/>
      <c r="D118" s="11" t="n"/>
      <c r="E118" s="11" t="n"/>
      <c r="F118" s="11" t="n"/>
      <c r="G118" s="11">
        <f>D118+E118+F118</f>
        <v/>
      </c>
      <c r="H118" s="11" t="n"/>
      <c r="I118" s="11" t="n"/>
      <c r="J118" s="11">
        <f>H118+I118-D118</f>
        <v/>
      </c>
      <c r="K118" s="10">
        <f>IF(J118=0,"OK",IF(J118&lt;0,"Недостача","Излишек"))</f>
        <v/>
      </c>
      <c r="L118" s="10" t="n"/>
    </row>
    <row r="119">
      <c r="A119" s="10" t="n"/>
      <c r="B119" s="10" t="n"/>
      <c r="C119" s="10" t="n"/>
      <c r="D119" s="11" t="n"/>
      <c r="E119" s="11" t="n"/>
      <c r="F119" s="11" t="n"/>
      <c r="G119" s="11">
        <f>D119+E119+F119</f>
        <v/>
      </c>
      <c r="H119" s="11" t="n"/>
      <c r="I119" s="11" t="n"/>
      <c r="J119" s="11">
        <f>H119+I119-D119</f>
        <v/>
      </c>
      <c r="K119" s="10">
        <f>IF(J119=0,"OK",IF(J119&lt;0,"Недостача","Излишек"))</f>
        <v/>
      </c>
      <c r="L119" s="10" t="n"/>
    </row>
    <row r="120">
      <c r="A120" s="10" t="n"/>
      <c r="B120" s="10" t="n"/>
      <c r="C120" s="10" t="n"/>
      <c r="D120" s="11" t="n"/>
      <c r="E120" s="11" t="n"/>
      <c r="F120" s="11" t="n"/>
      <c r="G120" s="11">
        <f>D120+E120+F120</f>
        <v/>
      </c>
      <c r="H120" s="11" t="n"/>
      <c r="I120" s="11" t="n"/>
      <c r="J120" s="11">
        <f>H120+I120-D120</f>
        <v/>
      </c>
      <c r="K120" s="10">
        <f>IF(J120=0,"OK",IF(J120&lt;0,"Недостача","Излишек"))</f>
        <v/>
      </c>
      <c r="L120" s="10" t="n"/>
    </row>
    <row r="121">
      <c r="A121" s="10" t="n"/>
      <c r="B121" s="10" t="n"/>
      <c r="C121" s="10" t="n"/>
      <c r="D121" s="11" t="n"/>
      <c r="E121" s="11" t="n"/>
      <c r="F121" s="11" t="n"/>
      <c r="G121" s="11">
        <f>D121+E121+F121</f>
        <v/>
      </c>
      <c r="H121" s="11" t="n"/>
      <c r="I121" s="11" t="n"/>
      <c r="J121" s="11">
        <f>H121+I121-D121</f>
        <v/>
      </c>
      <c r="K121" s="10">
        <f>IF(J121=0,"OK",IF(J121&lt;0,"Недостача","Излишек"))</f>
        <v/>
      </c>
      <c r="L121" s="10" t="n"/>
    </row>
    <row r="122">
      <c r="A122" s="10" t="n"/>
      <c r="B122" s="10" t="n"/>
      <c r="C122" s="10" t="n"/>
      <c r="D122" s="11" t="n"/>
      <c r="E122" s="11" t="n"/>
      <c r="F122" s="11" t="n"/>
      <c r="G122" s="11">
        <f>D122+E122+F122</f>
        <v/>
      </c>
      <c r="H122" s="11" t="n"/>
      <c r="I122" s="11" t="n"/>
      <c r="J122" s="11">
        <f>H122+I122-D122</f>
        <v/>
      </c>
      <c r="K122" s="10">
        <f>IF(J122=0,"OK",IF(J122&lt;0,"Недостача","Излишек"))</f>
        <v/>
      </c>
      <c r="L122" s="10" t="n"/>
    </row>
    <row r="123">
      <c r="A123" s="10" t="n"/>
      <c r="B123" s="10" t="n"/>
      <c r="C123" s="10" t="n"/>
      <c r="D123" s="11" t="n"/>
      <c r="E123" s="11" t="n"/>
      <c r="F123" s="11" t="n"/>
      <c r="G123" s="11">
        <f>D123+E123+F123</f>
        <v/>
      </c>
      <c r="H123" s="11" t="n"/>
      <c r="I123" s="11" t="n"/>
      <c r="J123" s="11">
        <f>H123+I123-D123</f>
        <v/>
      </c>
      <c r="K123" s="10">
        <f>IF(J123=0,"OK",IF(J123&lt;0,"Недостача","Излишек"))</f>
        <v/>
      </c>
      <c r="L123" s="10" t="n"/>
    </row>
    <row r="124">
      <c r="A124" s="10" t="n"/>
      <c r="B124" s="10" t="n"/>
      <c r="C124" s="10" t="n"/>
      <c r="D124" s="11" t="n"/>
      <c r="E124" s="11" t="n"/>
      <c r="F124" s="11" t="n"/>
      <c r="G124" s="11">
        <f>D124+E124+F124</f>
        <v/>
      </c>
      <c r="H124" s="11" t="n"/>
      <c r="I124" s="11" t="n"/>
      <c r="J124" s="11">
        <f>H124+I124-D124</f>
        <v/>
      </c>
      <c r="K124" s="10">
        <f>IF(J124=0,"OK",IF(J124&lt;0,"Недостача","Излишек"))</f>
        <v/>
      </c>
      <c r="L124" s="10" t="n"/>
    </row>
    <row r="125">
      <c r="A125" s="10" t="n"/>
      <c r="B125" s="10" t="n"/>
      <c r="C125" s="10" t="n"/>
      <c r="D125" s="11" t="n"/>
      <c r="E125" s="11" t="n"/>
      <c r="F125" s="11" t="n"/>
      <c r="G125" s="11">
        <f>D125+E125+F125</f>
        <v/>
      </c>
      <c r="H125" s="11" t="n"/>
      <c r="I125" s="11" t="n"/>
      <c r="J125" s="11">
        <f>H125+I125-D125</f>
        <v/>
      </c>
      <c r="K125" s="10">
        <f>IF(J125=0,"OK",IF(J125&lt;0,"Недостача","Излишек"))</f>
        <v/>
      </c>
      <c r="L125" s="10" t="n"/>
    </row>
    <row r="126">
      <c r="A126" s="10" t="n"/>
      <c r="B126" s="10" t="n"/>
      <c r="C126" s="10" t="n"/>
      <c r="D126" s="11" t="n"/>
      <c r="E126" s="11" t="n"/>
      <c r="F126" s="11" t="n"/>
      <c r="G126" s="11">
        <f>D126+E126+F126</f>
        <v/>
      </c>
      <c r="H126" s="11" t="n"/>
      <c r="I126" s="11" t="n"/>
      <c r="J126" s="11">
        <f>H126+I126-D126</f>
        <v/>
      </c>
      <c r="K126" s="10">
        <f>IF(J126=0,"OK",IF(J126&lt;0,"Недостача","Излишек"))</f>
        <v/>
      </c>
      <c r="L126" s="10" t="n"/>
    </row>
    <row r="127">
      <c r="A127" s="10" t="n"/>
      <c r="B127" s="10" t="n"/>
      <c r="C127" s="10" t="n"/>
      <c r="D127" s="11" t="n"/>
      <c r="E127" s="11" t="n"/>
      <c r="F127" s="11" t="n"/>
      <c r="G127" s="11">
        <f>D127+E127+F127</f>
        <v/>
      </c>
      <c r="H127" s="11" t="n"/>
      <c r="I127" s="11" t="n"/>
      <c r="J127" s="11">
        <f>H127+I127-D127</f>
        <v/>
      </c>
      <c r="K127" s="10">
        <f>IF(J127=0,"OK",IF(J127&lt;0,"Недостача","Излишек"))</f>
        <v/>
      </c>
      <c r="L127" s="10" t="n"/>
    </row>
    <row r="128">
      <c r="A128" s="10" t="n"/>
      <c r="B128" s="10" t="n"/>
      <c r="C128" s="10" t="n"/>
      <c r="D128" s="11" t="n"/>
      <c r="E128" s="11" t="n"/>
      <c r="F128" s="11" t="n"/>
      <c r="G128" s="11">
        <f>D128+E128+F128</f>
        <v/>
      </c>
      <c r="H128" s="11" t="n"/>
      <c r="I128" s="11" t="n"/>
      <c r="J128" s="11">
        <f>H128+I128-D128</f>
        <v/>
      </c>
      <c r="K128" s="10">
        <f>IF(J128=0,"OK",IF(J128&lt;0,"Недостача","Излишек"))</f>
        <v/>
      </c>
      <c r="L128" s="10" t="n"/>
    </row>
    <row r="129">
      <c r="A129" s="10" t="n"/>
      <c r="B129" s="10" t="n"/>
      <c r="C129" s="10" t="n"/>
      <c r="D129" s="11" t="n"/>
      <c r="E129" s="11" t="n"/>
      <c r="F129" s="11" t="n"/>
      <c r="G129" s="11">
        <f>D129+E129+F129</f>
        <v/>
      </c>
      <c r="H129" s="11" t="n"/>
      <c r="I129" s="11" t="n"/>
      <c r="J129" s="11">
        <f>H129+I129-D129</f>
        <v/>
      </c>
      <c r="K129" s="10">
        <f>IF(J129=0,"OK",IF(J129&lt;0,"Недостача","Излишек"))</f>
        <v/>
      </c>
      <c r="L129" s="10" t="n"/>
    </row>
    <row r="130">
      <c r="A130" s="10" t="n"/>
      <c r="B130" s="10" t="n"/>
      <c r="C130" s="10" t="n"/>
      <c r="D130" s="11" t="n"/>
      <c r="E130" s="11" t="n"/>
      <c r="F130" s="11" t="n"/>
      <c r="G130" s="11">
        <f>D130+E130+F130</f>
        <v/>
      </c>
      <c r="H130" s="11" t="n"/>
      <c r="I130" s="11" t="n"/>
      <c r="J130" s="11">
        <f>H130+I130-D130</f>
        <v/>
      </c>
      <c r="K130" s="10">
        <f>IF(J130=0,"OK",IF(J130&lt;0,"Недостача","Излишек"))</f>
        <v/>
      </c>
      <c r="L130" s="10" t="n"/>
    </row>
    <row r="131">
      <c r="A131" s="10" t="n"/>
      <c r="B131" s="10" t="n"/>
      <c r="C131" s="10" t="n"/>
      <c r="D131" s="11" t="n"/>
      <c r="E131" s="11" t="n"/>
      <c r="F131" s="11" t="n"/>
      <c r="G131" s="11">
        <f>D131+E131+F131</f>
        <v/>
      </c>
      <c r="H131" s="11" t="n"/>
      <c r="I131" s="11" t="n"/>
      <c r="J131" s="11">
        <f>H131+I131-D131</f>
        <v/>
      </c>
      <c r="K131" s="10">
        <f>IF(J131=0,"OK",IF(J131&lt;0,"Недостача","Излишек"))</f>
        <v/>
      </c>
      <c r="L131" s="10" t="n"/>
    </row>
    <row r="132">
      <c r="A132" s="10" t="n"/>
      <c r="B132" s="10" t="n"/>
      <c r="C132" s="10" t="n"/>
      <c r="D132" s="11" t="n"/>
      <c r="E132" s="11" t="n"/>
      <c r="F132" s="11" t="n"/>
      <c r="G132" s="11">
        <f>D132+E132+F132</f>
        <v/>
      </c>
      <c r="H132" s="11" t="n"/>
      <c r="I132" s="11" t="n"/>
      <c r="J132" s="11">
        <f>H132+I132-D132</f>
        <v/>
      </c>
      <c r="K132" s="10">
        <f>IF(J132=0,"OK",IF(J132&lt;0,"Недостача","Излишек"))</f>
        <v/>
      </c>
      <c r="L132" s="10" t="n"/>
    </row>
    <row r="133">
      <c r="A133" s="10" t="n"/>
      <c r="B133" s="10" t="n"/>
      <c r="C133" s="10" t="n"/>
      <c r="D133" s="11" t="n"/>
      <c r="E133" s="11" t="n"/>
      <c r="F133" s="11" t="n"/>
      <c r="G133" s="11">
        <f>D133+E133+F133</f>
        <v/>
      </c>
      <c r="H133" s="11" t="n"/>
      <c r="I133" s="11" t="n"/>
      <c r="J133" s="11">
        <f>H133+I133-D133</f>
        <v/>
      </c>
      <c r="K133" s="10">
        <f>IF(J133=0,"OK",IF(J133&lt;0,"Недостача","Излишек"))</f>
        <v/>
      </c>
      <c r="L133" s="10" t="n"/>
    </row>
    <row r="134">
      <c r="A134" s="10" t="n"/>
      <c r="B134" s="10" t="n"/>
      <c r="C134" s="10" t="n"/>
      <c r="D134" s="11" t="n"/>
      <c r="E134" s="11" t="n"/>
      <c r="F134" s="11" t="n"/>
      <c r="G134" s="11">
        <f>D134+E134+F134</f>
        <v/>
      </c>
      <c r="H134" s="11" t="n"/>
      <c r="I134" s="11" t="n"/>
      <c r="J134" s="11">
        <f>H134+I134-D134</f>
        <v/>
      </c>
      <c r="K134" s="10">
        <f>IF(J134=0,"OK",IF(J134&lt;0,"Недостача","Излишек"))</f>
        <v/>
      </c>
      <c r="L134" s="10" t="n"/>
    </row>
    <row r="135">
      <c r="A135" s="10" t="n"/>
      <c r="B135" s="10" t="n"/>
      <c r="C135" s="10" t="n"/>
      <c r="D135" s="11" t="n"/>
      <c r="E135" s="11" t="n"/>
      <c r="F135" s="11" t="n"/>
      <c r="G135" s="11">
        <f>D135+E135+F135</f>
        <v/>
      </c>
      <c r="H135" s="11" t="n"/>
      <c r="I135" s="11" t="n"/>
      <c r="J135" s="11">
        <f>H135+I135-D135</f>
        <v/>
      </c>
      <c r="K135" s="10">
        <f>IF(J135=0,"OK",IF(J135&lt;0,"Недостача","Излишек"))</f>
        <v/>
      </c>
      <c r="L135" s="10" t="n"/>
    </row>
    <row r="136">
      <c r="A136" s="10" t="n"/>
      <c r="B136" s="10" t="n"/>
      <c r="C136" s="10" t="n"/>
      <c r="D136" s="11" t="n"/>
      <c r="E136" s="11" t="n"/>
      <c r="F136" s="11" t="n"/>
      <c r="G136" s="11">
        <f>D136+E136+F136</f>
        <v/>
      </c>
      <c r="H136" s="11" t="n"/>
      <c r="I136" s="11" t="n"/>
      <c r="J136" s="11">
        <f>H136+I136-D136</f>
        <v/>
      </c>
      <c r="K136" s="10">
        <f>IF(J136=0,"OK",IF(J136&lt;0,"Недостача","Излишек"))</f>
        <v/>
      </c>
      <c r="L136" s="10" t="n"/>
    </row>
    <row r="137">
      <c r="A137" s="10" t="n"/>
      <c r="B137" s="10" t="n"/>
      <c r="C137" s="10" t="n"/>
      <c r="D137" s="11" t="n"/>
      <c r="E137" s="11" t="n"/>
      <c r="F137" s="11" t="n"/>
      <c r="G137" s="11">
        <f>D137+E137+F137</f>
        <v/>
      </c>
      <c r="H137" s="11" t="n"/>
      <c r="I137" s="11" t="n"/>
      <c r="J137" s="11">
        <f>H137+I137-D137</f>
        <v/>
      </c>
      <c r="K137" s="10">
        <f>IF(J137=0,"OK",IF(J137&lt;0,"Недостача","Излишек"))</f>
        <v/>
      </c>
      <c r="L137" s="10" t="n"/>
    </row>
    <row r="138">
      <c r="A138" s="10" t="n"/>
      <c r="B138" s="10" t="n"/>
      <c r="C138" s="10" t="n"/>
      <c r="D138" s="11" t="n"/>
      <c r="E138" s="11" t="n"/>
      <c r="F138" s="11" t="n"/>
      <c r="G138" s="11">
        <f>D138+E138+F138</f>
        <v/>
      </c>
      <c r="H138" s="11" t="n"/>
      <c r="I138" s="11" t="n"/>
      <c r="J138" s="11">
        <f>H138+I138-D138</f>
        <v/>
      </c>
      <c r="K138" s="10">
        <f>IF(J138=0,"OK",IF(J138&lt;0,"Недостача","Излишек"))</f>
        <v/>
      </c>
      <c r="L138" s="10" t="n"/>
    </row>
    <row r="139">
      <c r="A139" s="10" t="n"/>
      <c r="B139" s="10" t="n"/>
      <c r="C139" s="10" t="n"/>
      <c r="D139" s="11" t="n"/>
      <c r="E139" s="11" t="n"/>
      <c r="F139" s="11" t="n"/>
      <c r="G139" s="11">
        <f>D139+E139+F139</f>
        <v/>
      </c>
      <c r="H139" s="11" t="n"/>
      <c r="I139" s="11" t="n"/>
      <c r="J139" s="11">
        <f>H139+I139-D139</f>
        <v/>
      </c>
      <c r="K139" s="10">
        <f>IF(J139=0,"OK",IF(J139&lt;0,"Недостача","Излишек"))</f>
        <v/>
      </c>
      <c r="L139" s="10" t="n"/>
    </row>
    <row r="140">
      <c r="A140" s="10" t="n"/>
      <c r="B140" s="10" t="n"/>
      <c r="C140" s="10" t="n"/>
      <c r="D140" s="11" t="n"/>
      <c r="E140" s="11" t="n"/>
      <c r="F140" s="11" t="n"/>
      <c r="G140" s="11">
        <f>D140+E140+F140</f>
        <v/>
      </c>
      <c r="H140" s="11" t="n"/>
      <c r="I140" s="11" t="n"/>
      <c r="J140" s="11">
        <f>H140+I140-D140</f>
        <v/>
      </c>
      <c r="K140" s="10">
        <f>IF(J140=0,"OK",IF(J140&lt;0,"Недостача","Излишек"))</f>
        <v/>
      </c>
      <c r="L140" s="10" t="n"/>
    </row>
    <row r="141">
      <c r="A141" s="10" t="n"/>
      <c r="B141" s="10" t="n"/>
      <c r="C141" s="10" t="n"/>
      <c r="D141" s="11" t="n"/>
      <c r="E141" s="11" t="n"/>
      <c r="F141" s="11" t="n"/>
      <c r="G141" s="11">
        <f>D141+E141+F141</f>
        <v/>
      </c>
      <c r="H141" s="11" t="n"/>
      <c r="I141" s="11" t="n"/>
      <c r="J141" s="11">
        <f>H141+I141-D141</f>
        <v/>
      </c>
      <c r="K141" s="10">
        <f>IF(J141=0,"OK",IF(J141&lt;0,"Недостача","Излишек"))</f>
        <v/>
      </c>
      <c r="L141" s="10" t="n"/>
    </row>
    <row r="142">
      <c r="A142" s="10" t="n"/>
      <c r="B142" s="10" t="n"/>
      <c r="C142" s="10" t="n"/>
      <c r="D142" s="11" t="n"/>
      <c r="E142" s="11" t="n"/>
      <c r="F142" s="11" t="n"/>
      <c r="G142" s="11">
        <f>D142+E142+F142</f>
        <v/>
      </c>
      <c r="H142" s="11" t="n"/>
      <c r="I142" s="11" t="n"/>
      <c r="J142" s="11">
        <f>H142+I142-D142</f>
        <v/>
      </c>
      <c r="K142" s="10">
        <f>IF(J142=0,"OK",IF(J142&lt;0,"Недостача","Излишек"))</f>
        <v/>
      </c>
      <c r="L142" s="10" t="n"/>
    </row>
    <row r="143">
      <c r="A143" s="10" t="n"/>
      <c r="B143" s="10" t="n"/>
      <c r="C143" s="10" t="n"/>
      <c r="D143" s="11" t="n"/>
      <c r="E143" s="11" t="n"/>
      <c r="F143" s="11" t="n"/>
      <c r="G143" s="11">
        <f>D143+E143+F143</f>
        <v/>
      </c>
      <c r="H143" s="11" t="n"/>
      <c r="I143" s="11" t="n"/>
      <c r="J143" s="11">
        <f>H143+I143-D143</f>
        <v/>
      </c>
      <c r="K143" s="10">
        <f>IF(J143=0,"OK",IF(J143&lt;0,"Недостача","Излишек"))</f>
        <v/>
      </c>
      <c r="L143" s="10" t="n"/>
    </row>
    <row r="144">
      <c r="A144" s="10" t="n"/>
      <c r="B144" s="10" t="n"/>
      <c r="C144" s="10" t="n"/>
      <c r="D144" s="11" t="n"/>
      <c r="E144" s="11" t="n"/>
      <c r="F144" s="11" t="n"/>
      <c r="G144" s="11">
        <f>D144+E144+F144</f>
        <v/>
      </c>
      <c r="H144" s="11" t="n"/>
      <c r="I144" s="11" t="n"/>
      <c r="J144" s="11">
        <f>H144+I144-D144</f>
        <v/>
      </c>
      <c r="K144" s="10">
        <f>IF(J144=0,"OK",IF(J144&lt;0,"Недостача","Излишек"))</f>
        <v/>
      </c>
      <c r="L144" s="10" t="n"/>
    </row>
    <row r="145">
      <c r="A145" s="10" t="n"/>
      <c r="B145" s="10" t="n"/>
      <c r="C145" s="10" t="n"/>
      <c r="D145" s="11" t="n"/>
      <c r="E145" s="11" t="n"/>
      <c r="F145" s="11" t="n"/>
      <c r="G145" s="11">
        <f>D145+E145+F145</f>
        <v/>
      </c>
      <c r="H145" s="11" t="n"/>
      <c r="I145" s="11" t="n"/>
      <c r="J145" s="11">
        <f>H145+I145-D145</f>
        <v/>
      </c>
      <c r="K145" s="10">
        <f>IF(J145=0,"OK",IF(J145&lt;0,"Недостача","Излишек"))</f>
        <v/>
      </c>
      <c r="L145" s="10" t="n"/>
    </row>
    <row r="146">
      <c r="A146" s="10" t="n"/>
      <c r="B146" s="10" t="n"/>
      <c r="C146" s="10" t="n"/>
      <c r="D146" s="11" t="n"/>
      <c r="E146" s="11" t="n"/>
      <c r="F146" s="11" t="n"/>
      <c r="G146" s="11">
        <f>D146+E146+F146</f>
        <v/>
      </c>
      <c r="H146" s="11" t="n"/>
      <c r="I146" s="11" t="n"/>
      <c r="J146" s="11">
        <f>H146+I146-D146</f>
        <v/>
      </c>
      <c r="K146" s="10">
        <f>IF(J146=0,"OK",IF(J146&lt;0,"Недостача","Излишек"))</f>
        <v/>
      </c>
      <c r="L146" s="10" t="n"/>
    </row>
    <row r="147">
      <c r="A147" s="10" t="n"/>
      <c r="B147" s="10" t="n"/>
      <c r="C147" s="10" t="n"/>
      <c r="D147" s="11" t="n"/>
      <c r="E147" s="11" t="n"/>
      <c r="F147" s="11" t="n"/>
      <c r="G147" s="11">
        <f>D147+E147+F147</f>
        <v/>
      </c>
      <c r="H147" s="11" t="n"/>
      <c r="I147" s="11" t="n"/>
      <c r="J147" s="11">
        <f>H147+I147-D147</f>
        <v/>
      </c>
      <c r="K147" s="10">
        <f>IF(J147=0,"OK",IF(J147&lt;0,"Недостача","Излишек"))</f>
        <v/>
      </c>
      <c r="L147" s="10" t="n"/>
    </row>
    <row r="148">
      <c r="A148" s="10" t="n"/>
      <c r="B148" s="10" t="n"/>
      <c r="C148" s="10" t="n"/>
      <c r="D148" s="11" t="n"/>
      <c r="E148" s="11" t="n"/>
      <c r="F148" s="11" t="n"/>
      <c r="G148" s="11">
        <f>D148+E148+F148</f>
        <v/>
      </c>
      <c r="H148" s="11" t="n"/>
      <c r="I148" s="11" t="n"/>
      <c r="J148" s="11">
        <f>H148+I148-D148</f>
        <v/>
      </c>
      <c r="K148" s="10">
        <f>IF(J148=0,"OK",IF(J148&lt;0,"Недостача","Излишек"))</f>
        <v/>
      </c>
      <c r="L148" s="10" t="n"/>
    </row>
    <row r="149">
      <c r="A149" s="10" t="n"/>
      <c r="B149" s="10" t="n"/>
      <c r="C149" s="10" t="n"/>
      <c r="D149" s="11" t="n"/>
      <c r="E149" s="11" t="n"/>
      <c r="F149" s="11" t="n"/>
      <c r="G149" s="11">
        <f>D149+E149+F149</f>
        <v/>
      </c>
      <c r="H149" s="11" t="n"/>
      <c r="I149" s="11" t="n"/>
      <c r="J149" s="11">
        <f>H149+I149-D149</f>
        <v/>
      </c>
      <c r="K149" s="10">
        <f>IF(J149=0,"OK",IF(J149&lt;0,"Недостача","Излишек"))</f>
        <v/>
      </c>
      <c r="L149" s="10" t="n"/>
    </row>
    <row r="150">
      <c r="A150" s="10" t="n"/>
      <c r="B150" s="10" t="n"/>
      <c r="C150" s="10" t="n"/>
      <c r="D150" s="11" t="n"/>
      <c r="E150" s="11" t="n"/>
      <c r="F150" s="11" t="n"/>
      <c r="G150" s="11">
        <f>D150+E150+F150</f>
        <v/>
      </c>
      <c r="H150" s="11" t="n"/>
      <c r="I150" s="11" t="n"/>
      <c r="J150" s="11">
        <f>H150+I150-D150</f>
        <v/>
      </c>
      <c r="K150" s="10">
        <f>IF(J150=0,"OK",IF(J150&lt;0,"Недостача","Излишек"))</f>
        <v/>
      </c>
      <c r="L150" s="10" t="n"/>
    </row>
    <row r="151">
      <c r="A151" s="10" t="n"/>
      <c r="B151" s="10" t="n"/>
      <c r="C151" s="10" t="n"/>
      <c r="D151" s="11" t="n"/>
      <c r="E151" s="11" t="n"/>
      <c r="F151" s="11" t="n"/>
      <c r="G151" s="11">
        <f>D151+E151+F151</f>
        <v/>
      </c>
      <c r="H151" s="11" t="n"/>
      <c r="I151" s="11" t="n"/>
      <c r="J151" s="11">
        <f>H151+I151-D151</f>
        <v/>
      </c>
      <c r="K151" s="10">
        <f>IF(J151=0,"OK",IF(J151&lt;0,"Недостача","Излишек"))</f>
        <v/>
      </c>
      <c r="L151" s="10" t="n"/>
    </row>
    <row r="152">
      <c r="A152" s="10" t="n"/>
      <c r="B152" s="10" t="n"/>
      <c r="C152" s="10" t="n"/>
      <c r="D152" s="11" t="n"/>
      <c r="E152" s="11" t="n"/>
      <c r="F152" s="11" t="n"/>
      <c r="G152" s="11">
        <f>D152+E152+F152</f>
        <v/>
      </c>
      <c r="H152" s="11" t="n"/>
      <c r="I152" s="11" t="n"/>
      <c r="J152" s="11">
        <f>H152+I152-D152</f>
        <v/>
      </c>
      <c r="K152" s="10">
        <f>IF(J152=0,"OK",IF(J152&lt;0,"Недостача","Излишек"))</f>
        <v/>
      </c>
      <c r="L152" s="10" t="n"/>
    </row>
    <row r="153">
      <c r="A153" s="10" t="n"/>
      <c r="B153" s="10" t="n"/>
      <c r="C153" s="10" t="n"/>
      <c r="D153" s="11" t="n"/>
      <c r="E153" s="11" t="n"/>
      <c r="F153" s="11" t="n"/>
      <c r="G153" s="11">
        <f>D153+E153+F153</f>
        <v/>
      </c>
      <c r="H153" s="11" t="n"/>
      <c r="I153" s="11" t="n"/>
      <c r="J153" s="11">
        <f>H153+I153-D153</f>
        <v/>
      </c>
      <c r="K153" s="10">
        <f>IF(J153=0,"OK",IF(J153&lt;0,"Недостача","Излишек"))</f>
        <v/>
      </c>
      <c r="L153" s="10" t="n"/>
    </row>
    <row r="154">
      <c r="A154" s="10" t="n"/>
      <c r="B154" s="10" t="n"/>
      <c r="C154" s="10" t="n"/>
      <c r="D154" s="11" t="n"/>
      <c r="E154" s="11" t="n"/>
      <c r="F154" s="11" t="n"/>
      <c r="G154" s="11">
        <f>D154+E154+F154</f>
        <v/>
      </c>
      <c r="H154" s="11" t="n"/>
      <c r="I154" s="11" t="n"/>
      <c r="J154" s="11">
        <f>H154+I154-D154</f>
        <v/>
      </c>
      <c r="K154" s="10">
        <f>IF(J154=0,"OK",IF(J154&lt;0,"Недостача","Излишек"))</f>
        <v/>
      </c>
      <c r="L154" s="10" t="n"/>
    </row>
    <row r="155">
      <c r="A155" s="10" t="n"/>
      <c r="B155" s="10" t="n"/>
      <c r="C155" s="10" t="n"/>
      <c r="D155" s="11" t="n"/>
      <c r="E155" s="11" t="n"/>
      <c r="F155" s="11" t="n"/>
      <c r="G155" s="11">
        <f>D155+E155+F155</f>
        <v/>
      </c>
      <c r="H155" s="11" t="n"/>
      <c r="I155" s="11" t="n"/>
      <c r="J155" s="11">
        <f>H155+I155-D155</f>
        <v/>
      </c>
      <c r="K155" s="10">
        <f>IF(J155=0,"OK",IF(J155&lt;0,"Недостача","Излишек"))</f>
        <v/>
      </c>
      <c r="L155" s="10" t="n"/>
    </row>
    <row r="156">
      <c r="A156" s="10" t="n"/>
      <c r="B156" s="10" t="n"/>
      <c r="C156" s="10" t="n"/>
      <c r="D156" s="11" t="n"/>
      <c r="E156" s="11" t="n"/>
      <c r="F156" s="11" t="n"/>
      <c r="G156" s="11">
        <f>D156+E156+F156</f>
        <v/>
      </c>
      <c r="H156" s="11" t="n"/>
      <c r="I156" s="11" t="n"/>
      <c r="J156" s="11">
        <f>H156+I156-D156</f>
        <v/>
      </c>
      <c r="K156" s="10">
        <f>IF(J156=0,"OK",IF(J156&lt;0,"Недостача","Излишек"))</f>
        <v/>
      </c>
      <c r="L156" s="10" t="n"/>
    </row>
    <row r="157">
      <c r="A157" s="10" t="n"/>
      <c r="B157" s="10" t="n"/>
      <c r="C157" s="10" t="n"/>
      <c r="D157" s="11" t="n"/>
      <c r="E157" s="11" t="n"/>
      <c r="F157" s="11" t="n"/>
      <c r="G157" s="11">
        <f>D157+E157+F157</f>
        <v/>
      </c>
      <c r="H157" s="11" t="n"/>
      <c r="I157" s="11" t="n"/>
      <c r="J157" s="11">
        <f>H157+I157-D157</f>
        <v/>
      </c>
      <c r="K157" s="10">
        <f>IF(J157=0,"OK",IF(J157&lt;0,"Недостача","Излишек"))</f>
        <v/>
      </c>
      <c r="L157" s="10" t="n"/>
    </row>
    <row r="158">
      <c r="A158" s="10" t="n"/>
      <c r="B158" s="10" t="n"/>
      <c r="C158" s="10" t="n"/>
      <c r="D158" s="11" t="n"/>
      <c r="E158" s="11" t="n"/>
      <c r="F158" s="11" t="n"/>
      <c r="G158" s="11">
        <f>D158+E158+F158</f>
        <v/>
      </c>
      <c r="H158" s="11" t="n"/>
      <c r="I158" s="11" t="n"/>
      <c r="J158" s="11">
        <f>H158+I158-D158</f>
        <v/>
      </c>
      <c r="K158" s="10">
        <f>IF(J158=0,"OK",IF(J158&lt;0,"Недостача","Излишек"))</f>
        <v/>
      </c>
      <c r="L158" s="10" t="n"/>
    </row>
    <row r="159">
      <c r="A159" s="10" t="n"/>
      <c r="B159" s="10" t="n"/>
      <c r="C159" s="10" t="n"/>
      <c r="D159" s="11" t="n"/>
      <c r="E159" s="11" t="n"/>
      <c r="F159" s="11" t="n"/>
      <c r="G159" s="11">
        <f>D159+E159+F159</f>
        <v/>
      </c>
      <c r="H159" s="11" t="n"/>
      <c r="I159" s="11" t="n"/>
      <c r="J159" s="11">
        <f>H159+I159-D159</f>
        <v/>
      </c>
      <c r="K159" s="10">
        <f>IF(J159=0,"OK",IF(J159&lt;0,"Недостача","Излишек"))</f>
        <v/>
      </c>
      <c r="L159" s="10" t="n"/>
    </row>
    <row r="160">
      <c r="A160" s="10" t="n"/>
      <c r="B160" s="10" t="n"/>
      <c r="C160" s="10" t="n"/>
      <c r="D160" s="11" t="n"/>
      <c r="E160" s="11" t="n"/>
      <c r="F160" s="11" t="n"/>
      <c r="G160" s="11">
        <f>D160+E160+F160</f>
        <v/>
      </c>
      <c r="H160" s="11" t="n"/>
      <c r="I160" s="11" t="n"/>
      <c r="J160" s="11">
        <f>H160+I160-D160</f>
        <v/>
      </c>
      <c r="K160" s="10">
        <f>IF(J160=0,"OK",IF(J160&lt;0,"Недостача","Излишек"))</f>
        <v/>
      </c>
      <c r="L160" s="10" t="n"/>
    </row>
    <row r="161">
      <c r="A161" s="10" t="n"/>
      <c r="B161" s="10" t="n"/>
      <c r="C161" s="10" t="n"/>
      <c r="D161" s="11" t="n"/>
      <c r="E161" s="11" t="n"/>
      <c r="F161" s="11" t="n"/>
      <c r="G161" s="11">
        <f>D161+E161+F161</f>
        <v/>
      </c>
      <c r="H161" s="11" t="n"/>
      <c r="I161" s="11" t="n"/>
      <c r="J161" s="11">
        <f>H161+I161-D161</f>
        <v/>
      </c>
      <c r="K161" s="10">
        <f>IF(J161=0,"OK",IF(J161&lt;0,"Недостача","Излишек"))</f>
        <v/>
      </c>
      <c r="L161" s="10" t="n"/>
    </row>
    <row r="162">
      <c r="A162" s="10" t="n"/>
      <c r="B162" s="10" t="n"/>
      <c r="C162" s="10" t="n"/>
      <c r="D162" s="11" t="n"/>
      <c r="E162" s="11" t="n"/>
      <c r="F162" s="11" t="n"/>
      <c r="G162" s="11">
        <f>D162+E162+F162</f>
        <v/>
      </c>
      <c r="H162" s="11" t="n"/>
      <c r="I162" s="11" t="n"/>
      <c r="J162" s="11">
        <f>H162+I162-D162</f>
        <v/>
      </c>
      <c r="K162" s="10">
        <f>IF(J162=0,"OK",IF(J162&lt;0,"Недостача","Излишек"))</f>
        <v/>
      </c>
      <c r="L162" s="10" t="n"/>
    </row>
    <row r="163">
      <c r="A163" s="10" t="n"/>
      <c r="B163" s="10" t="n"/>
      <c r="C163" s="10" t="n"/>
      <c r="D163" s="11" t="n"/>
      <c r="E163" s="11" t="n"/>
      <c r="F163" s="11" t="n"/>
      <c r="G163" s="11">
        <f>D163+E163+F163</f>
        <v/>
      </c>
      <c r="H163" s="11" t="n"/>
      <c r="I163" s="11" t="n"/>
      <c r="J163" s="11">
        <f>H163+I163-D163</f>
        <v/>
      </c>
      <c r="K163" s="10">
        <f>IF(J163=0,"OK",IF(J163&lt;0,"Недостача","Излишек"))</f>
        <v/>
      </c>
      <c r="L163" s="10" t="n"/>
    </row>
    <row r="164">
      <c r="A164" s="10" t="n"/>
      <c r="B164" s="10" t="n"/>
      <c r="C164" s="10" t="n"/>
      <c r="D164" s="11" t="n"/>
      <c r="E164" s="11" t="n"/>
      <c r="F164" s="11" t="n"/>
      <c r="G164" s="11">
        <f>D164+E164+F164</f>
        <v/>
      </c>
      <c r="H164" s="11" t="n"/>
      <c r="I164" s="11" t="n"/>
      <c r="J164" s="11">
        <f>H164+I164-D164</f>
        <v/>
      </c>
      <c r="K164" s="10">
        <f>IF(J164=0,"OK",IF(J164&lt;0,"Недостача","Излишек"))</f>
        <v/>
      </c>
      <c r="L164" s="10" t="n"/>
    </row>
    <row r="165">
      <c r="A165" s="10" t="n"/>
      <c r="B165" s="10" t="n"/>
      <c r="C165" s="10" t="n"/>
      <c r="D165" s="11" t="n"/>
      <c r="E165" s="11" t="n"/>
      <c r="F165" s="11" t="n"/>
      <c r="G165" s="11">
        <f>D165+E165+F165</f>
        <v/>
      </c>
      <c r="H165" s="11" t="n"/>
      <c r="I165" s="11" t="n"/>
      <c r="J165" s="11">
        <f>H165+I165-D165</f>
        <v/>
      </c>
      <c r="K165" s="10">
        <f>IF(J165=0,"OK",IF(J165&lt;0,"Недостача","Излишек"))</f>
        <v/>
      </c>
      <c r="L165" s="10" t="n"/>
    </row>
    <row r="166">
      <c r="A166" s="10" t="n"/>
      <c r="B166" s="10" t="n"/>
      <c r="C166" s="10" t="n"/>
      <c r="D166" s="11" t="n"/>
      <c r="E166" s="11" t="n"/>
      <c r="F166" s="11" t="n"/>
      <c r="G166" s="11">
        <f>D166+E166+F166</f>
        <v/>
      </c>
      <c r="H166" s="11" t="n"/>
      <c r="I166" s="11" t="n"/>
      <c r="J166" s="11">
        <f>H166+I166-D166</f>
        <v/>
      </c>
      <c r="K166" s="10">
        <f>IF(J166=0,"OK",IF(J166&lt;0,"Недостача","Излишек"))</f>
        <v/>
      </c>
      <c r="L166" s="10" t="n"/>
    </row>
    <row r="167">
      <c r="A167" s="10" t="n"/>
      <c r="B167" s="10" t="n"/>
      <c r="C167" s="10" t="n"/>
      <c r="D167" s="11" t="n"/>
      <c r="E167" s="11" t="n"/>
      <c r="F167" s="11" t="n"/>
      <c r="G167" s="11">
        <f>D167+E167+F167</f>
        <v/>
      </c>
      <c r="H167" s="11" t="n"/>
      <c r="I167" s="11" t="n"/>
      <c r="J167" s="11">
        <f>H167+I167-D167</f>
        <v/>
      </c>
      <c r="K167" s="10">
        <f>IF(J167=0,"OK",IF(J167&lt;0,"Недостача","Излишек"))</f>
        <v/>
      </c>
      <c r="L167" s="10" t="n"/>
    </row>
    <row r="168">
      <c r="A168" s="10" t="n"/>
      <c r="B168" s="10" t="n"/>
      <c r="C168" s="10" t="n"/>
      <c r="D168" s="11" t="n"/>
      <c r="E168" s="11" t="n"/>
      <c r="F168" s="11" t="n"/>
      <c r="G168" s="11">
        <f>D168+E168+F168</f>
        <v/>
      </c>
      <c r="H168" s="11" t="n"/>
      <c r="I168" s="11" t="n"/>
      <c r="J168" s="11">
        <f>H168+I168-D168</f>
        <v/>
      </c>
      <c r="K168" s="10">
        <f>IF(J168=0,"OK",IF(J168&lt;0,"Недостача","Излишек"))</f>
        <v/>
      </c>
      <c r="L168" s="10" t="n"/>
    </row>
    <row r="169">
      <c r="A169" s="10" t="n"/>
      <c r="B169" s="10" t="n"/>
      <c r="C169" s="10" t="n"/>
      <c r="D169" s="11" t="n"/>
      <c r="E169" s="11" t="n"/>
      <c r="F169" s="11" t="n"/>
      <c r="G169" s="11">
        <f>D169+E169+F169</f>
        <v/>
      </c>
      <c r="H169" s="11" t="n"/>
      <c r="I169" s="11" t="n"/>
      <c r="J169" s="11">
        <f>H169+I169-D169</f>
        <v/>
      </c>
      <c r="K169" s="10">
        <f>IF(J169=0,"OK",IF(J169&lt;0,"Недостача","Излишек"))</f>
        <v/>
      </c>
      <c r="L169" s="10" t="n"/>
    </row>
    <row r="170">
      <c r="A170" s="10" t="n"/>
      <c r="B170" s="10" t="n"/>
      <c r="C170" s="10" t="n"/>
      <c r="D170" s="11" t="n"/>
      <c r="E170" s="11" t="n"/>
      <c r="F170" s="11" t="n"/>
      <c r="G170" s="11">
        <f>D170+E170+F170</f>
        <v/>
      </c>
      <c r="H170" s="11" t="n"/>
      <c r="I170" s="11" t="n"/>
      <c r="J170" s="11">
        <f>H170+I170-D170</f>
        <v/>
      </c>
      <c r="K170" s="10">
        <f>IF(J170=0,"OK",IF(J170&lt;0,"Недостача","Излишек"))</f>
        <v/>
      </c>
      <c r="L170" s="10" t="n"/>
    </row>
    <row r="171">
      <c r="A171" s="10" t="n"/>
      <c r="B171" s="10" t="n"/>
      <c r="C171" s="10" t="n"/>
      <c r="D171" s="11" t="n"/>
      <c r="E171" s="11" t="n"/>
      <c r="F171" s="11" t="n"/>
      <c r="G171" s="11">
        <f>D171+E171+F171</f>
        <v/>
      </c>
      <c r="H171" s="11" t="n"/>
      <c r="I171" s="11" t="n"/>
      <c r="J171" s="11">
        <f>H171+I171-D171</f>
        <v/>
      </c>
      <c r="K171" s="10">
        <f>IF(J171=0,"OK",IF(J171&lt;0,"Недостача","Излишек"))</f>
        <v/>
      </c>
      <c r="L171" s="10" t="n"/>
    </row>
    <row r="172">
      <c r="A172" s="10" t="n"/>
      <c r="B172" s="10" t="n"/>
      <c r="C172" s="10" t="n"/>
      <c r="D172" s="11" t="n"/>
      <c r="E172" s="11" t="n"/>
      <c r="F172" s="11" t="n"/>
      <c r="G172" s="11">
        <f>D172+E172+F172</f>
        <v/>
      </c>
      <c r="H172" s="11" t="n"/>
      <c r="I172" s="11" t="n"/>
      <c r="J172" s="11">
        <f>H172+I172-D172</f>
        <v/>
      </c>
      <c r="K172" s="10">
        <f>IF(J172=0,"OK",IF(J172&lt;0,"Недостача","Излишек"))</f>
        <v/>
      </c>
      <c r="L172" s="10" t="n"/>
    </row>
    <row r="173">
      <c r="A173" s="10" t="n"/>
      <c r="B173" s="10" t="n"/>
      <c r="C173" s="10" t="n"/>
      <c r="D173" s="11" t="n"/>
      <c r="E173" s="11" t="n"/>
      <c r="F173" s="11" t="n"/>
      <c r="G173" s="11">
        <f>D173+E173+F173</f>
        <v/>
      </c>
      <c r="H173" s="11" t="n"/>
      <c r="I173" s="11" t="n"/>
      <c r="J173" s="11">
        <f>H173+I173-D173</f>
        <v/>
      </c>
      <c r="K173" s="10">
        <f>IF(J173=0,"OK",IF(J173&lt;0,"Недостача","Излишек"))</f>
        <v/>
      </c>
      <c r="L173" s="10" t="n"/>
    </row>
    <row r="174">
      <c r="A174" s="10" t="n"/>
      <c r="B174" s="10" t="n"/>
      <c r="C174" s="10" t="n"/>
      <c r="D174" s="11" t="n"/>
      <c r="E174" s="11" t="n"/>
      <c r="F174" s="11" t="n"/>
      <c r="G174" s="11">
        <f>D174+E174+F174</f>
        <v/>
      </c>
      <c r="H174" s="11" t="n"/>
      <c r="I174" s="11" t="n"/>
      <c r="J174" s="11">
        <f>H174+I174-D174</f>
        <v/>
      </c>
      <c r="K174" s="10">
        <f>IF(J174=0,"OK",IF(J174&lt;0,"Недостача","Излишек"))</f>
        <v/>
      </c>
      <c r="L174" s="10" t="n"/>
    </row>
    <row r="175">
      <c r="A175" s="10" t="n"/>
      <c r="B175" s="10" t="n"/>
      <c r="C175" s="10" t="n"/>
      <c r="D175" s="11" t="n"/>
      <c r="E175" s="11" t="n"/>
      <c r="F175" s="11" t="n"/>
      <c r="G175" s="11">
        <f>D175+E175+F175</f>
        <v/>
      </c>
      <c r="H175" s="11" t="n"/>
      <c r="I175" s="11" t="n"/>
      <c r="J175" s="11">
        <f>H175+I175-D175</f>
        <v/>
      </c>
      <c r="K175" s="10">
        <f>IF(J175=0,"OK",IF(J175&lt;0,"Недостача","Излишек"))</f>
        <v/>
      </c>
      <c r="L175" s="10" t="n"/>
    </row>
    <row r="176">
      <c r="A176" s="10" t="n"/>
      <c r="B176" s="10" t="n"/>
      <c r="C176" s="10" t="n"/>
      <c r="D176" s="11" t="n"/>
      <c r="E176" s="11" t="n"/>
      <c r="F176" s="11" t="n"/>
      <c r="G176" s="11">
        <f>D176+E176+F176</f>
        <v/>
      </c>
      <c r="H176" s="11" t="n"/>
      <c r="I176" s="11" t="n"/>
      <c r="J176" s="11">
        <f>H176+I176-D176</f>
        <v/>
      </c>
      <c r="K176" s="10">
        <f>IF(J176=0,"OK",IF(J176&lt;0,"Недостача","Излишек"))</f>
        <v/>
      </c>
      <c r="L176" s="10" t="n"/>
    </row>
    <row r="177">
      <c r="A177" s="10" t="n"/>
      <c r="B177" s="10" t="n"/>
      <c r="C177" s="10" t="n"/>
      <c r="D177" s="11" t="n"/>
      <c r="E177" s="11" t="n"/>
      <c r="F177" s="11" t="n"/>
      <c r="G177" s="11">
        <f>D177+E177+F177</f>
        <v/>
      </c>
      <c r="H177" s="11" t="n"/>
      <c r="I177" s="11" t="n"/>
      <c r="J177" s="11">
        <f>H177+I177-D177</f>
        <v/>
      </c>
      <c r="K177" s="10">
        <f>IF(J177=0,"OK",IF(J177&lt;0,"Недостача","Излишек"))</f>
        <v/>
      </c>
      <c r="L177" s="10" t="n"/>
    </row>
    <row r="178">
      <c r="A178" s="10" t="n"/>
      <c r="B178" s="10" t="n"/>
      <c r="C178" s="10" t="n"/>
      <c r="D178" s="11" t="n"/>
      <c r="E178" s="11" t="n"/>
      <c r="F178" s="11" t="n"/>
      <c r="G178" s="11">
        <f>D178+E178+F178</f>
        <v/>
      </c>
      <c r="H178" s="11" t="n"/>
      <c r="I178" s="11" t="n"/>
      <c r="J178" s="11">
        <f>H178+I178-D178</f>
        <v/>
      </c>
      <c r="K178" s="10">
        <f>IF(J178=0,"OK",IF(J178&lt;0,"Недостача","Излишек"))</f>
        <v/>
      </c>
      <c r="L178" s="10" t="n"/>
    </row>
    <row r="179">
      <c r="A179" s="10" t="n"/>
      <c r="B179" s="10" t="n"/>
      <c r="C179" s="10" t="n"/>
      <c r="D179" s="11" t="n"/>
      <c r="E179" s="11" t="n"/>
      <c r="F179" s="11" t="n"/>
      <c r="G179" s="11">
        <f>D179+E179+F179</f>
        <v/>
      </c>
      <c r="H179" s="11" t="n"/>
      <c r="I179" s="11" t="n"/>
      <c r="J179" s="11">
        <f>H179+I179-D179</f>
        <v/>
      </c>
      <c r="K179" s="10">
        <f>IF(J179=0,"OK",IF(J179&lt;0,"Недостача","Излишек"))</f>
        <v/>
      </c>
      <c r="L179" s="10" t="n"/>
    </row>
    <row r="180">
      <c r="A180" s="10" t="n"/>
      <c r="B180" s="10" t="n"/>
      <c r="C180" s="10" t="n"/>
      <c r="D180" s="11" t="n"/>
      <c r="E180" s="11" t="n"/>
      <c r="F180" s="11" t="n"/>
      <c r="G180" s="11">
        <f>D180+E180+F180</f>
        <v/>
      </c>
      <c r="H180" s="11" t="n"/>
      <c r="I180" s="11" t="n"/>
      <c r="J180" s="11">
        <f>H180+I180-D180</f>
        <v/>
      </c>
      <c r="K180" s="10">
        <f>IF(J180=0,"OK",IF(J180&lt;0,"Недостача","Излишек"))</f>
        <v/>
      </c>
      <c r="L180" s="10" t="n"/>
    </row>
    <row r="181">
      <c r="A181" s="10" t="n"/>
      <c r="B181" s="10" t="n"/>
      <c r="C181" s="10" t="n"/>
      <c r="D181" s="11" t="n"/>
      <c r="E181" s="11" t="n"/>
      <c r="F181" s="11" t="n"/>
      <c r="G181" s="11">
        <f>D181+E181+F181</f>
        <v/>
      </c>
      <c r="H181" s="11" t="n"/>
      <c r="I181" s="11" t="n"/>
      <c r="J181" s="11">
        <f>H181+I181-D181</f>
        <v/>
      </c>
      <c r="K181" s="10">
        <f>IF(J181=0,"OK",IF(J181&lt;0,"Недостача","Излишек"))</f>
        <v/>
      </c>
      <c r="L181" s="10" t="n"/>
    </row>
    <row r="182">
      <c r="A182" s="10" t="n"/>
      <c r="B182" s="10" t="n"/>
      <c r="C182" s="10" t="n"/>
      <c r="D182" s="11" t="n"/>
      <c r="E182" s="11" t="n"/>
      <c r="F182" s="11" t="n"/>
      <c r="G182" s="11">
        <f>D182+E182+F182</f>
        <v/>
      </c>
      <c r="H182" s="11" t="n"/>
      <c r="I182" s="11" t="n"/>
      <c r="J182" s="11">
        <f>H182+I182-D182</f>
        <v/>
      </c>
      <c r="K182" s="10">
        <f>IF(J182=0,"OK",IF(J182&lt;0,"Недостача","Излишек"))</f>
        <v/>
      </c>
      <c r="L182" s="10" t="n"/>
    </row>
    <row r="183">
      <c r="A183" s="10" t="n"/>
      <c r="B183" s="10" t="n"/>
      <c r="C183" s="10" t="n"/>
      <c r="D183" s="11" t="n"/>
      <c r="E183" s="11" t="n"/>
      <c r="F183" s="11" t="n"/>
      <c r="G183" s="11">
        <f>D183+E183+F183</f>
        <v/>
      </c>
      <c r="H183" s="11" t="n"/>
      <c r="I183" s="11" t="n"/>
      <c r="J183" s="11">
        <f>H183+I183-D183</f>
        <v/>
      </c>
      <c r="K183" s="10">
        <f>IF(J183=0,"OK",IF(J183&lt;0,"Недостача","Излишек"))</f>
        <v/>
      </c>
      <c r="L183" s="10" t="n"/>
    </row>
    <row r="184">
      <c r="A184" s="10" t="n"/>
      <c r="B184" s="10" t="n"/>
      <c r="C184" s="10" t="n"/>
      <c r="D184" s="11" t="n"/>
      <c r="E184" s="11" t="n"/>
      <c r="F184" s="11" t="n"/>
      <c r="G184" s="11">
        <f>D184+E184+F184</f>
        <v/>
      </c>
      <c r="H184" s="11" t="n"/>
      <c r="I184" s="11" t="n"/>
      <c r="J184" s="11">
        <f>H184+I184-D184</f>
        <v/>
      </c>
      <c r="K184" s="10">
        <f>IF(J184=0,"OK",IF(J184&lt;0,"Недостача","Излишек"))</f>
        <v/>
      </c>
      <c r="L184" s="10" t="n"/>
    </row>
    <row r="185">
      <c r="A185" s="10" t="n"/>
      <c r="B185" s="10" t="n"/>
      <c r="C185" s="10" t="n"/>
      <c r="D185" s="11" t="n"/>
      <c r="E185" s="11" t="n"/>
      <c r="F185" s="11" t="n"/>
      <c r="G185" s="11">
        <f>D185+E185+F185</f>
        <v/>
      </c>
      <c r="H185" s="11" t="n"/>
      <c r="I185" s="11" t="n"/>
      <c r="J185" s="11">
        <f>H185+I185-D185</f>
        <v/>
      </c>
      <c r="K185" s="10">
        <f>IF(J185=0,"OK",IF(J185&lt;0,"Недостача","Излишек"))</f>
        <v/>
      </c>
      <c r="L185" s="10" t="n"/>
    </row>
    <row r="186">
      <c r="A186" s="10" t="n"/>
      <c r="B186" s="10" t="n"/>
      <c r="C186" s="10" t="n"/>
      <c r="D186" s="11" t="n"/>
      <c r="E186" s="11" t="n"/>
      <c r="F186" s="11" t="n"/>
      <c r="G186" s="11">
        <f>D186+E186+F186</f>
        <v/>
      </c>
      <c r="H186" s="11" t="n"/>
      <c r="I186" s="11" t="n"/>
      <c r="J186" s="11">
        <f>H186+I186-D186</f>
        <v/>
      </c>
      <c r="K186" s="10">
        <f>IF(J186=0,"OK",IF(J186&lt;0,"Недостача","Излишек"))</f>
        <v/>
      </c>
      <c r="L186" s="10" t="n"/>
    </row>
    <row r="187">
      <c r="A187" s="10" t="n"/>
      <c r="B187" s="10" t="n"/>
      <c r="C187" s="10" t="n"/>
      <c r="D187" s="11" t="n"/>
      <c r="E187" s="11" t="n"/>
      <c r="F187" s="11" t="n"/>
      <c r="G187" s="11">
        <f>D187+E187+F187</f>
        <v/>
      </c>
      <c r="H187" s="11" t="n"/>
      <c r="I187" s="11" t="n"/>
      <c r="J187" s="11">
        <f>H187+I187-D187</f>
        <v/>
      </c>
      <c r="K187" s="10">
        <f>IF(J187=0,"OK",IF(J187&lt;0,"Недостача","Излишек"))</f>
        <v/>
      </c>
      <c r="L187" s="10" t="n"/>
    </row>
    <row r="188">
      <c r="A188" s="10" t="n"/>
      <c r="B188" s="10" t="n"/>
      <c r="C188" s="10" t="n"/>
      <c r="D188" s="11" t="n"/>
      <c r="E188" s="11" t="n"/>
      <c r="F188" s="11" t="n"/>
      <c r="G188" s="11">
        <f>D188+E188+F188</f>
        <v/>
      </c>
      <c r="H188" s="11" t="n"/>
      <c r="I188" s="11" t="n"/>
      <c r="J188" s="11">
        <f>H188+I188-D188</f>
        <v/>
      </c>
      <c r="K188" s="10">
        <f>IF(J188=0,"OK",IF(J188&lt;0,"Недостача","Излишек"))</f>
        <v/>
      </c>
      <c r="L188" s="10" t="n"/>
    </row>
    <row r="189">
      <c r="A189" s="10" t="n"/>
      <c r="B189" s="10" t="n"/>
      <c r="C189" s="10" t="n"/>
      <c r="D189" s="11" t="n"/>
      <c r="E189" s="11" t="n"/>
      <c r="F189" s="11" t="n"/>
      <c r="G189" s="11">
        <f>D189+E189+F189</f>
        <v/>
      </c>
      <c r="H189" s="11" t="n"/>
      <c r="I189" s="11" t="n"/>
      <c r="J189" s="11">
        <f>H189+I189-D189</f>
        <v/>
      </c>
      <c r="K189" s="10">
        <f>IF(J189=0,"OK",IF(J189&lt;0,"Недостача","Излишек"))</f>
        <v/>
      </c>
      <c r="L189" s="10" t="n"/>
    </row>
    <row r="190">
      <c r="A190" s="10" t="n"/>
      <c r="B190" s="10" t="n"/>
      <c r="C190" s="10" t="n"/>
      <c r="D190" s="11" t="n"/>
      <c r="E190" s="11" t="n"/>
      <c r="F190" s="11" t="n"/>
      <c r="G190" s="11">
        <f>D190+E190+F190</f>
        <v/>
      </c>
      <c r="H190" s="11" t="n"/>
      <c r="I190" s="11" t="n"/>
      <c r="J190" s="11">
        <f>H190+I190-D190</f>
        <v/>
      </c>
      <c r="K190" s="10">
        <f>IF(J190=0,"OK",IF(J190&lt;0,"Недостача","Излишек"))</f>
        <v/>
      </c>
      <c r="L190" s="10" t="n"/>
    </row>
    <row r="191">
      <c r="A191" s="10" t="n"/>
      <c r="B191" s="10" t="n"/>
      <c r="C191" s="10" t="n"/>
      <c r="D191" s="11" t="n"/>
      <c r="E191" s="11" t="n"/>
      <c r="F191" s="11" t="n"/>
      <c r="G191" s="11">
        <f>D191+E191+F191</f>
        <v/>
      </c>
      <c r="H191" s="11" t="n"/>
      <c r="I191" s="11" t="n"/>
      <c r="J191" s="11">
        <f>H191+I191-D191</f>
        <v/>
      </c>
      <c r="K191" s="10">
        <f>IF(J191=0,"OK",IF(J191&lt;0,"Недостача","Излишек"))</f>
        <v/>
      </c>
      <c r="L191" s="10" t="n"/>
    </row>
    <row r="192">
      <c r="A192" s="10" t="n"/>
      <c r="B192" s="10" t="n"/>
      <c r="C192" s="10" t="n"/>
      <c r="D192" s="11" t="n"/>
      <c r="E192" s="11" t="n"/>
      <c r="F192" s="11" t="n"/>
      <c r="G192" s="11">
        <f>D192+E192+F192</f>
        <v/>
      </c>
      <c r="H192" s="11" t="n"/>
      <c r="I192" s="11" t="n"/>
      <c r="J192" s="11">
        <f>H192+I192-D192</f>
        <v/>
      </c>
      <c r="K192" s="10">
        <f>IF(J192=0,"OK",IF(J192&lt;0,"Недостача","Излишек"))</f>
        <v/>
      </c>
      <c r="L192" s="10" t="n"/>
    </row>
    <row r="193">
      <c r="A193" s="10" t="n"/>
      <c r="B193" s="10" t="n"/>
      <c r="C193" s="10" t="n"/>
      <c r="D193" s="11" t="n"/>
      <c r="E193" s="11" t="n"/>
      <c r="F193" s="11" t="n"/>
      <c r="G193" s="11">
        <f>D193+E193+F193</f>
        <v/>
      </c>
      <c r="H193" s="11" t="n"/>
      <c r="I193" s="11" t="n"/>
      <c r="J193" s="11">
        <f>H193+I193-D193</f>
        <v/>
      </c>
      <c r="K193" s="10">
        <f>IF(J193=0,"OK",IF(J193&lt;0,"Недостача","Излишек"))</f>
        <v/>
      </c>
      <c r="L193" s="10" t="n"/>
    </row>
    <row r="194">
      <c r="A194" s="10" t="n"/>
      <c r="B194" s="10" t="n"/>
      <c r="C194" s="10" t="n"/>
      <c r="D194" s="11" t="n"/>
      <c r="E194" s="11" t="n"/>
      <c r="F194" s="11" t="n"/>
      <c r="G194" s="11">
        <f>D194+E194+F194</f>
        <v/>
      </c>
      <c r="H194" s="11" t="n"/>
      <c r="I194" s="11" t="n"/>
      <c r="J194" s="11">
        <f>H194+I194-D194</f>
        <v/>
      </c>
      <c r="K194" s="10">
        <f>IF(J194=0,"OK",IF(J194&lt;0,"Недостача","Излишек"))</f>
        <v/>
      </c>
      <c r="L194" s="10" t="n"/>
    </row>
    <row r="195">
      <c r="A195" s="10" t="n"/>
      <c r="B195" s="10" t="n"/>
      <c r="C195" s="10" t="n"/>
      <c r="D195" s="11" t="n"/>
      <c r="E195" s="11" t="n"/>
      <c r="F195" s="11" t="n"/>
      <c r="G195" s="11">
        <f>D195+E195+F195</f>
        <v/>
      </c>
      <c r="H195" s="11" t="n"/>
      <c r="I195" s="11" t="n"/>
      <c r="J195" s="11">
        <f>H195+I195-D195</f>
        <v/>
      </c>
      <c r="K195" s="10">
        <f>IF(J195=0,"OK",IF(J195&lt;0,"Недостача","Излишек"))</f>
        <v/>
      </c>
      <c r="L195" s="10" t="n"/>
    </row>
    <row r="196">
      <c r="A196" s="10" t="n"/>
      <c r="B196" s="10" t="n"/>
      <c r="C196" s="10" t="n"/>
      <c r="D196" s="11" t="n"/>
      <c r="E196" s="11" t="n"/>
      <c r="F196" s="11" t="n"/>
      <c r="G196" s="11">
        <f>D196+E196+F196</f>
        <v/>
      </c>
      <c r="H196" s="11" t="n"/>
      <c r="I196" s="11" t="n"/>
      <c r="J196" s="11">
        <f>H196+I196-D196</f>
        <v/>
      </c>
      <c r="K196" s="10">
        <f>IF(J196=0,"OK",IF(J196&lt;0,"Недостача","Излишек"))</f>
        <v/>
      </c>
      <c r="L196" s="10" t="n"/>
    </row>
    <row r="197">
      <c r="A197" s="10" t="n"/>
      <c r="B197" s="10" t="n"/>
      <c r="C197" s="10" t="n"/>
      <c r="D197" s="11" t="n"/>
      <c r="E197" s="11" t="n"/>
      <c r="F197" s="11" t="n"/>
      <c r="G197" s="11">
        <f>D197+E197+F197</f>
        <v/>
      </c>
      <c r="H197" s="11" t="n"/>
      <c r="I197" s="11" t="n"/>
      <c r="J197" s="11">
        <f>H197+I197-D197</f>
        <v/>
      </c>
      <c r="K197" s="10">
        <f>IF(J197=0,"OK",IF(J197&lt;0,"Недостача","Излишек"))</f>
        <v/>
      </c>
      <c r="L197" s="10" t="n"/>
    </row>
    <row r="198">
      <c r="A198" s="10" t="n"/>
      <c r="B198" s="10" t="n"/>
      <c r="C198" s="10" t="n"/>
      <c r="D198" s="11" t="n"/>
      <c r="E198" s="11" t="n"/>
      <c r="F198" s="11" t="n"/>
      <c r="G198" s="11">
        <f>D198+E198+F198</f>
        <v/>
      </c>
      <c r="H198" s="11" t="n"/>
      <c r="I198" s="11" t="n"/>
      <c r="J198" s="11">
        <f>H198+I198-D198</f>
        <v/>
      </c>
      <c r="K198" s="10">
        <f>IF(J198=0,"OK",IF(J198&lt;0,"Недостача","Излишек"))</f>
        <v/>
      </c>
      <c r="L198" s="10" t="n"/>
    </row>
    <row r="199">
      <c r="A199" s="10" t="n"/>
      <c r="B199" s="10" t="n"/>
      <c r="C199" s="10" t="n"/>
      <c r="D199" s="11" t="n"/>
      <c r="E199" s="11" t="n"/>
      <c r="F199" s="11" t="n"/>
      <c r="G199" s="11">
        <f>D199+E199+F199</f>
        <v/>
      </c>
      <c r="H199" s="11" t="n"/>
      <c r="I199" s="11" t="n"/>
      <c r="J199" s="11">
        <f>H199+I199-D199</f>
        <v/>
      </c>
      <c r="K199" s="10">
        <f>IF(J199=0,"OK",IF(J199&lt;0,"Недостача","Излишек"))</f>
        <v/>
      </c>
      <c r="L199" s="10" t="n"/>
    </row>
    <row r="200">
      <c r="A200" s="10" t="n"/>
      <c r="B200" s="10" t="n"/>
      <c r="C200" s="10" t="n"/>
      <c r="D200" s="11" t="n"/>
      <c r="E200" s="11" t="n"/>
      <c r="F200" s="11" t="n"/>
      <c r="G200" s="11">
        <f>D200+E200+F200</f>
        <v/>
      </c>
      <c r="H200" s="11" t="n"/>
      <c r="I200" s="11" t="n"/>
      <c r="J200" s="11">
        <f>H200+I200-D200</f>
        <v/>
      </c>
      <c r="K200" s="10">
        <f>IF(J200=0,"OK",IF(J200&lt;0,"Недостача","Излишек"))</f>
        <v/>
      </c>
      <c r="L200" s="10" t="n"/>
    </row>
    <row r="201">
      <c r="A201" s="10" t="n"/>
      <c r="B201" s="10" t="n"/>
      <c r="C201" s="10" t="n"/>
      <c r="D201" s="11" t="n"/>
      <c r="E201" s="11" t="n"/>
      <c r="F201" s="11" t="n"/>
      <c r="G201" s="11">
        <f>D201+E201+F201</f>
        <v/>
      </c>
      <c r="H201" s="11" t="n"/>
      <c r="I201" s="11" t="n"/>
      <c r="J201" s="11">
        <f>H201+I201-D201</f>
        <v/>
      </c>
      <c r="K201" s="10">
        <f>IF(J201=0,"OK",IF(J201&lt;0,"Недостача","Излишек"))</f>
        <v/>
      </c>
      <c r="L201" s="10" t="n"/>
    </row>
    <row r="202">
      <c r="A202" s="10" t="n"/>
      <c r="B202" s="10" t="n"/>
      <c r="C202" s="10" t="n"/>
      <c r="D202" s="11" t="n"/>
      <c r="E202" s="11" t="n"/>
      <c r="F202" s="11" t="n"/>
      <c r="G202" s="11">
        <f>D202+E202+F202</f>
        <v/>
      </c>
      <c r="H202" s="11" t="n"/>
      <c r="I202" s="11" t="n"/>
      <c r="J202" s="11">
        <f>H202+I202-D202</f>
        <v/>
      </c>
      <c r="K202" s="10">
        <f>IF(J202=0,"OK",IF(J202&lt;0,"Недостача","Излишек"))</f>
        <v/>
      </c>
      <c r="L202" s="10" t="n"/>
    </row>
    <row r="203">
      <c r="A203" s="10" t="n"/>
      <c r="B203" s="10" t="n"/>
      <c r="C203" s="10" t="n"/>
      <c r="D203" s="11" t="n"/>
      <c r="E203" s="11" t="n"/>
      <c r="F203" s="11" t="n"/>
      <c r="G203" s="11">
        <f>D203+E203+F203</f>
        <v/>
      </c>
      <c r="H203" s="11" t="n"/>
      <c r="I203" s="11" t="n"/>
      <c r="J203" s="11">
        <f>H203+I203-D203</f>
        <v/>
      </c>
      <c r="K203" s="10">
        <f>IF(J203=0,"OK",IF(J203&lt;0,"Недостача","Излишек"))</f>
        <v/>
      </c>
      <c r="L203" s="10" t="n"/>
    </row>
  </sheetData>
  <mergeCells count="2">
    <mergeCell ref="A2:F2"/>
    <mergeCell ref="A1:L1"/>
  </mergeCells>
  <dataValidations count="2">
    <dataValidation sqref="B4:B203" showDropDown="0" showInputMessage="0" showErrorMessage="0" allowBlank="1" type="list">
      <formula1>"Дневная,Ночная"</formula1>
    </dataValidation>
    <dataValidation sqref="C4:C203" showDropDown="0" showInputMessage="0" showErrorMessage="0" allowBlank="1" type="list">
      <formula1>Справочники!$E$5:$E$34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0" customWidth="1" min="4" max="4"/>
    <col width="14" customWidth="1" min="5" max="5"/>
    <col width="26" customWidth="1" min="6" max="6"/>
  </cols>
  <sheetData>
    <row r="1" ht="28" customHeight="1">
      <c r="A1" s="1" t="inlineStr">
        <is>
          <t>Выплаты и накладные поставщикам</t>
        </is>
      </c>
    </row>
    <row r="2">
      <c r="A2" s="5" t="inlineStr">
        <is>
          <t>Вводи каждую операцию строкой. Лист «Долги» сам пересчитает текущий долг каждого поставщика.</t>
        </is>
      </c>
    </row>
    <row r="3" ht="30" customHeight="1">
      <c r="A3" s="6" t="inlineStr">
        <is>
          <t>Дата</t>
        </is>
      </c>
      <c r="B3" s="6" t="inlineStr">
        <is>
          <t>Поставщик</t>
        </is>
      </c>
      <c r="C3" s="6" t="inlineStr">
        <is>
          <t>Оплачено наличными</t>
        </is>
      </c>
      <c r="D3" s="6" t="inlineStr">
        <is>
          <t>Новый долг (накладная)</t>
        </is>
      </c>
      <c r="E3" s="6" t="inlineStr">
        <is>
          <t>Возврат</t>
        </is>
      </c>
      <c r="F3" s="6" t="inlineStr">
        <is>
          <t>Комментарий</t>
        </is>
      </c>
    </row>
    <row r="4">
      <c r="A4" s="10" t="n"/>
      <c r="B4" s="10" t="n"/>
      <c r="C4" s="11" t="n"/>
      <c r="D4" s="11" t="n"/>
      <c r="E4" s="11" t="n"/>
      <c r="F4" s="10" t="n"/>
    </row>
    <row r="5">
      <c r="A5" s="10" t="n"/>
      <c r="B5" s="10" t="n"/>
      <c r="C5" s="11" t="n"/>
      <c r="D5" s="11" t="n"/>
      <c r="E5" s="11" t="n"/>
      <c r="F5" s="10" t="n"/>
    </row>
    <row r="6">
      <c r="A6" s="10" t="n"/>
      <c r="B6" s="10" t="n"/>
      <c r="C6" s="11" t="n"/>
      <c r="D6" s="11" t="n"/>
      <c r="E6" s="11" t="n"/>
      <c r="F6" s="10" t="n"/>
    </row>
    <row r="7">
      <c r="A7" s="10" t="n"/>
      <c r="B7" s="10" t="n"/>
      <c r="C7" s="11" t="n"/>
      <c r="D7" s="11" t="n"/>
      <c r="E7" s="11" t="n"/>
      <c r="F7" s="10" t="n"/>
    </row>
    <row r="8">
      <c r="A8" s="10" t="n"/>
      <c r="B8" s="10" t="n"/>
      <c r="C8" s="11" t="n"/>
      <c r="D8" s="11" t="n"/>
      <c r="E8" s="11" t="n"/>
      <c r="F8" s="10" t="n"/>
    </row>
    <row r="9">
      <c r="A9" s="10" t="n"/>
      <c r="B9" s="10" t="n"/>
      <c r="C9" s="11" t="n"/>
      <c r="D9" s="11" t="n"/>
      <c r="E9" s="11" t="n"/>
      <c r="F9" s="10" t="n"/>
    </row>
    <row r="10">
      <c r="A10" s="10" t="n"/>
      <c r="B10" s="10" t="n"/>
      <c r="C10" s="11" t="n"/>
      <c r="D10" s="11" t="n"/>
      <c r="E10" s="11" t="n"/>
      <c r="F10" s="10" t="n"/>
    </row>
    <row r="11">
      <c r="A11" s="10" t="n"/>
      <c r="B11" s="10" t="n"/>
      <c r="C11" s="11" t="n"/>
      <c r="D11" s="11" t="n"/>
      <c r="E11" s="11" t="n"/>
      <c r="F11" s="10" t="n"/>
    </row>
    <row r="12">
      <c r="A12" s="10" t="n"/>
      <c r="B12" s="10" t="n"/>
      <c r="C12" s="11" t="n"/>
      <c r="D12" s="11" t="n"/>
      <c r="E12" s="11" t="n"/>
      <c r="F12" s="10" t="n"/>
    </row>
    <row r="13">
      <c r="A13" s="10" t="n"/>
      <c r="B13" s="10" t="n"/>
      <c r="C13" s="11" t="n"/>
      <c r="D13" s="11" t="n"/>
      <c r="E13" s="11" t="n"/>
      <c r="F13" s="10" t="n"/>
    </row>
    <row r="14">
      <c r="A14" s="10" t="n"/>
      <c r="B14" s="10" t="n"/>
      <c r="C14" s="11" t="n"/>
      <c r="D14" s="11" t="n"/>
      <c r="E14" s="11" t="n"/>
      <c r="F14" s="10" t="n"/>
    </row>
    <row r="15">
      <c r="A15" s="10" t="n"/>
      <c r="B15" s="10" t="n"/>
      <c r="C15" s="11" t="n"/>
      <c r="D15" s="11" t="n"/>
      <c r="E15" s="11" t="n"/>
      <c r="F15" s="10" t="n"/>
    </row>
    <row r="16">
      <c r="A16" s="10" t="n"/>
      <c r="B16" s="10" t="n"/>
      <c r="C16" s="11" t="n"/>
      <c r="D16" s="11" t="n"/>
      <c r="E16" s="11" t="n"/>
      <c r="F16" s="10" t="n"/>
    </row>
    <row r="17">
      <c r="A17" s="10" t="n"/>
      <c r="B17" s="10" t="n"/>
      <c r="C17" s="11" t="n"/>
      <c r="D17" s="11" t="n"/>
      <c r="E17" s="11" t="n"/>
      <c r="F17" s="10" t="n"/>
    </row>
    <row r="18">
      <c r="A18" s="10" t="n"/>
      <c r="B18" s="10" t="n"/>
      <c r="C18" s="11" t="n"/>
      <c r="D18" s="11" t="n"/>
      <c r="E18" s="11" t="n"/>
      <c r="F18" s="10" t="n"/>
    </row>
    <row r="19">
      <c r="A19" s="10" t="n"/>
      <c r="B19" s="10" t="n"/>
      <c r="C19" s="11" t="n"/>
      <c r="D19" s="11" t="n"/>
      <c r="E19" s="11" t="n"/>
      <c r="F19" s="10" t="n"/>
    </row>
    <row r="20">
      <c r="A20" s="10" t="n"/>
      <c r="B20" s="10" t="n"/>
      <c r="C20" s="11" t="n"/>
      <c r="D20" s="11" t="n"/>
      <c r="E20" s="11" t="n"/>
      <c r="F20" s="10" t="n"/>
    </row>
    <row r="21">
      <c r="A21" s="10" t="n"/>
      <c r="B21" s="10" t="n"/>
      <c r="C21" s="11" t="n"/>
      <c r="D21" s="11" t="n"/>
      <c r="E21" s="11" t="n"/>
      <c r="F21" s="10" t="n"/>
    </row>
    <row r="22">
      <c r="A22" s="10" t="n"/>
      <c r="B22" s="10" t="n"/>
      <c r="C22" s="11" t="n"/>
      <c r="D22" s="11" t="n"/>
      <c r="E22" s="11" t="n"/>
      <c r="F22" s="10" t="n"/>
    </row>
    <row r="23">
      <c r="A23" s="10" t="n"/>
      <c r="B23" s="10" t="n"/>
      <c r="C23" s="11" t="n"/>
      <c r="D23" s="11" t="n"/>
      <c r="E23" s="11" t="n"/>
      <c r="F23" s="10" t="n"/>
    </row>
    <row r="24">
      <c r="A24" s="10" t="n"/>
      <c r="B24" s="10" t="n"/>
      <c r="C24" s="11" t="n"/>
      <c r="D24" s="11" t="n"/>
      <c r="E24" s="11" t="n"/>
      <c r="F24" s="10" t="n"/>
    </row>
    <row r="25">
      <c r="A25" s="10" t="n"/>
      <c r="B25" s="10" t="n"/>
      <c r="C25" s="11" t="n"/>
      <c r="D25" s="11" t="n"/>
      <c r="E25" s="11" t="n"/>
      <c r="F25" s="10" t="n"/>
    </row>
    <row r="26">
      <c r="A26" s="10" t="n"/>
      <c r="B26" s="10" t="n"/>
      <c r="C26" s="11" t="n"/>
      <c r="D26" s="11" t="n"/>
      <c r="E26" s="11" t="n"/>
      <c r="F26" s="10" t="n"/>
    </row>
    <row r="27">
      <c r="A27" s="10" t="n"/>
      <c r="B27" s="10" t="n"/>
      <c r="C27" s="11" t="n"/>
      <c r="D27" s="11" t="n"/>
      <c r="E27" s="11" t="n"/>
      <c r="F27" s="10" t="n"/>
    </row>
    <row r="28">
      <c r="A28" s="10" t="n"/>
      <c r="B28" s="10" t="n"/>
      <c r="C28" s="11" t="n"/>
      <c r="D28" s="11" t="n"/>
      <c r="E28" s="11" t="n"/>
      <c r="F28" s="10" t="n"/>
    </row>
    <row r="29">
      <c r="A29" s="10" t="n"/>
      <c r="B29" s="10" t="n"/>
      <c r="C29" s="11" t="n"/>
      <c r="D29" s="11" t="n"/>
      <c r="E29" s="11" t="n"/>
      <c r="F29" s="10" t="n"/>
    </row>
    <row r="30">
      <c r="A30" s="10" t="n"/>
      <c r="B30" s="10" t="n"/>
      <c r="C30" s="11" t="n"/>
      <c r="D30" s="11" t="n"/>
      <c r="E30" s="11" t="n"/>
      <c r="F30" s="10" t="n"/>
    </row>
    <row r="31">
      <c r="A31" s="10" t="n"/>
      <c r="B31" s="10" t="n"/>
      <c r="C31" s="11" t="n"/>
      <c r="D31" s="11" t="n"/>
      <c r="E31" s="11" t="n"/>
      <c r="F31" s="10" t="n"/>
    </row>
    <row r="32">
      <c r="A32" s="10" t="n"/>
      <c r="B32" s="10" t="n"/>
      <c r="C32" s="11" t="n"/>
      <c r="D32" s="11" t="n"/>
      <c r="E32" s="11" t="n"/>
      <c r="F32" s="10" t="n"/>
    </row>
    <row r="33">
      <c r="A33" s="10" t="n"/>
      <c r="B33" s="10" t="n"/>
      <c r="C33" s="11" t="n"/>
      <c r="D33" s="11" t="n"/>
      <c r="E33" s="11" t="n"/>
      <c r="F33" s="10" t="n"/>
    </row>
    <row r="34">
      <c r="A34" s="10" t="n"/>
      <c r="B34" s="10" t="n"/>
      <c r="C34" s="11" t="n"/>
      <c r="D34" s="11" t="n"/>
      <c r="E34" s="11" t="n"/>
      <c r="F34" s="10" t="n"/>
    </row>
    <row r="35">
      <c r="A35" s="10" t="n"/>
      <c r="B35" s="10" t="n"/>
      <c r="C35" s="11" t="n"/>
      <c r="D35" s="11" t="n"/>
      <c r="E35" s="11" t="n"/>
      <c r="F35" s="10" t="n"/>
    </row>
    <row r="36">
      <c r="A36" s="10" t="n"/>
      <c r="B36" s="10" t="n"/>
      <c r="C36" s="11" t="n"/>
      <c r="D36" s="11" t="n"/>
      <c r="E36" s="11" t="n"/>
      <c r="F36" s="10" t="n"/>
    </row>
    <row r="37">
      <c r="A37" s="10" t="n"/>
      <c r="B37" s="10" t="n"/>
      <c r="C37" s="11" t="n"/>
      <c r="D37" s="11" t="n"/>
      <c r="E37" s="11" t="n"/>
      <c r="F37" s="10" t="n"/>
    </row>
    <row r="38">
      <c r="A38" s="10" t="n"/>
      <c r="B38" s="10" t="n"/>
      <c r="C38" s="11" t="n"/>
      <c r="D38" s="11" t="n"/>
      <c r="E38" s="11" t="n"/>
      <c r="F38" s="10" t="n"/>
    </row>
    <row r="39">
      <c r="A39" s="10" t="n"/>
      <c r="B39" s="10" t="n"/>
      <c r="C39" s="11" t="n"/>
      <c r="D39" s="11" t="n"/>
      <c r="E39" s="11" t="n"/>
      <c r="F39" s="10" t="n"/>
    </row>
    <row r="40">
      <c r="A40" s="10" t="n"/>
      <c r="B40" s="10" t="n"/>
      <c r="C40" s="11" t="n"/>
      <c r="D40" s="11" t="n"/>
      <c r="E40" s="11" t="n"/>
      <c r="F40" s="10" t="n"/>
    </row>
    <row r="41">
      <c r="A41" s="10" t="n"/>
      <c r="B41" s="10" t="n"/>
      <c r="C41" s="11" t="n"/>
      <c r="D41" s="11" t="n"/>
      <c r="E41" s="11" t="n"/>
      <c r="F41" s="10" t="n"/>
    </row>
    <row r="42">
      <c r="A42" s="10" t="n"/>
      <c r="B42" s="10" t="n"/>
      <c r="C42" s="11" t="n"/>
      <c r="D42" s="11" t="n"/>
      <c r="E42" s="11" t="n"/>
      <c r="F42" s="10" t="n"/>
    </row>
    <row r="43">
      <c r="A43" s="10" t="n"/>
      <c r="B43" s="10" t="n"/>
      <c r="C43" s="11" t="n"/>
      <c r="D43" s="11" t="n"/>
      <c r="E43" s="11" t="n"/>
      <c r="F43" s="10" t="n"/>
    </row>
    <row r="44">
      <c r="A44" s="10" t="n"/>
      <c r="B44" s="10" t="n"/>
      <c r="C44" s="11" t="n"/>
      <c r="D44" s="11" t="n"/>
      <c r="E44" s="11" t="n"/>
      <c r="F44" s="10" t="n"/>
    </row>
    <row r="45">
      <c r="A45" s="10" t="n"/>
      <c r="B45" s="10" t="n"/>
      <c r="C45" s="11" t="n"/>
      <c r="D45" s="11" t="n"/>
      <c r="E45" s="11" t="n"/>
      <c r="F45" s="10" t="n"/>
    </row>
    <row r="46">
      <c r="A46" s="10" t="n"/>
      <c r="B46" s="10" t="n"/>
      <c r="C46" s="11" t="n"/>
      <c r="D46" s="11" t="n"/>
      <c r="E46" s="11" t="n"/>
      <c r="F46" s="10" t="n"/>
    </row>
    <row r="47">
      <c r="A47" s="10" t="n"/>
      <c r="B47" s="10" t="n"/>
      <c r="C47" s="11" t="n"/>
      <c r="D47" s="11" t="n"/>
      <c r="E47" s="11" t="n"/>
      <c r="F47" s="10" t="n"/>
    </row>
    <row r="48">
      <c r="A48" s="10" t="n"/>
      <c r="B48" s="10" t="n"/>
      <c r="C48" s="11" t="n"/>
      <c r="D48" s="11" t="n"/>
      <c r="E48" s="11" t="n"/>
      <c r="F48" s="10" t="n"/>
    </row>
    <row r="49">
      <c r="A49" s="10" t="n"/>
      <c r="B49" s="10" t="n"/>
      <c r="C49" s="11" t="n"/>
      <c r="D49" s="11" t="n"/>
      <c r="E49" s="11" t="n"/>
      <c r="F49" s="10" t="n"/>
    </row>
    <row r="50">
      <c r="A50" s="10" t="n"/>
      <c r="B50" s="10" t="n"/>
      <c r="C50" s="11" t="n"/>
      <c r="D50" s="11" t="n"/>
      <c r="E50" s="11" t="n"/>
      <c r="F50" s="10" t="n"/>
    </row>
    <row r="51">
      <c r="A51" s="10" t="n"/>
      <c r="B51" s="10" t="n"/>
      <c r="C51" s="11" t="n"/>
      <c r="D51" s="11" t="n"/>
      <c r="E51" s="11" t="n"/>
      <c r="F51" s="10" t="n"/>
    </row>
    <row r="52">
      <c r="A52" s="10" t="n"/>
      <c r="B52" s="10" t="n"/>
      <c r="C52" s="11" t="n"/>
      <c r="D52" s="11" t="n"/>
      <c r="E52" s="11" t="n"/>
      <c r="F52" s="10" t="n"/>
    </row>
    <row r="53">
      <c r="A53" s="10" t="n"/>
      <c r="B53" s="10" t="n"/>
      <c r="C53" s="11" t="n"/>
      <c r="D53" s="11" t="n"/>
      <c r="E53" s="11" t="n"/>
      <c r="F53" s="10" t="n"/>
    </row>
    <row r="54">
      <c r="A54" s="10" t="n"/>
      <c r="B54" s="10" t="n"/>
      <c r="C54" s="11" t="n"/>
      <c r="D54" s="11" t="n"/>
      <c r="E54" s="11" t="n"/>
      <c r="F54" s="10" t="n"/>
    </row>
    <row r="55">
      <c r="A55" s="10" t="n"/>
      <c r="B55" s="10" t="n"/>
      <c r="C55" s="11" t="n"/>
      <c r="D55" s="11" t="n"/>
      <c r="E55" s="11" t="n"/>
      <c r="F55" s="10" t="n"/>
    </row>
    <row r="56">
      <c r="A56" s="10" t="n"/>
      <c r="B56" s="10" t="n"/>
      <c r="C56" s="11" t="n"/>
      <c r="D56" s="11" t="n"/>
      <c r="E56" s="11" t="n"/>
      <c r="F56" s="10" t="n"/>
    </row>
    <row r="57">
      <c r="A57" s="10" t="n"/>
      <c r="B57" s="10" t="n"/>
      <c r="C57" s="11" t="n"/>
      <c r="D57" s="11" t="n"/>
      <c r="E57" s="11" t="n"/>
      <c r="F57" s="10" t="n"/>
    </row>
    <row r="58">
      <c r="A58" s="10" t="n"/>
      <c r="B58" s="10" t="n"/>
      <c r="C58" s="11" t="n"/>
      <c r="D58" s="11" t="n"/>
      <c r="E58" s="11" t="n"/>
      <c r="F58" s="10" t="n"/>
    </row>
    <row r="59">
      <c r="A59" s="10" t="n"/>
      <c r="B59" s="10" t="n"/>
      <c r="C59" s="11" t="n"/>
      <c r="D59" s="11" t="n"/>
      <c r="E59" s="11" t="n"/>
      <c r="F59" s="10" t="n"/>
    </row>
    <row r="60">
      <c r="A60" s="10" t="n"/>
      <c r="B60" s="10" t="n"/>
      <c r="C60" s="11" t="n"/>
      <c r="D60" s="11" t="n"/>
      <c r="E60" s="11" t="n"/>
      <c r="F60" s="10" t="n"/>
    </row>
    <row r="61">
      <c r="A61" s="10" t="n"/>
      <c r="B61" s="10" t="n"/>
      <c r="C61" s="11" t="n"/>
      <c r="D61" s="11" t="n"/>
      <c r="E61" s="11" t="n"/>
      <c r="F61" s="10" t="n"/>
    </row>
    <row r="62">
      <c r="A62" s="10" t="n"/>
      <c r="B62" s="10" t="n"/>
      <c r="C62" s="11" t="n"/>
      <c r="D62" s="11" t="n"/>
      <c r="E62" s="11" t="n"/>
      <c r="F62" s="10" t="n"/>
    </row>
    <row r="63">
      <c r="A63" s="10" t="n"/>
      <c r="B63" s="10" t="n"/>
      <c r="C63" s="11" t="n"/>
      <c r="D63" s="11" t="n"/>
      <c r="E63" s="11" t="n"/>
      <c r="F63" s="10" t="n"/>
    </row>
    <row r="64">
      <c r="A64" s="10" t="n"/>
      <c r="B64" s="10" t="n"/>
      <c r="C64" s="11" t="n"/>
      <c r="D64" s="11" t="n"/>
      <c r="E64" s="11" t="n"/>
      <c r="F64" s="10" t="n"/>
    </row>
    <row r="65">
      <c r="A65" s="10" t="n"/>
      <c r="B65" s="10" t="n"/>
      <c r="C65" s="11" t="n"/>
      <c r="D65" s="11" t="n"/>
      <c r="E65" s="11" t="n"/>
      <c r="F65" s="10" t="n"/>
    </row>
    <row r="66">
      <c r="A66" s="10" t="n"/>
      <c r="B66" s="10" t="n"/>
      <c r="C66" s="11" t="n"/>
      <c r="D66" s="11" t="n"/>
      <c r="E66" s="11" t="n"/>
      <c r="F66" s="10" t="n"/>
    </row>
    <row r="67">
      <c r="A67" s="10" t="n"/>
      <c r="B67" s="10" t="n"/>
      <c r="C67" s="11" t="n"/>
      <c r="D67" s="11" t="n"/>
      <c r="E67" s="11" t="n"/>
      <c r="F67" s="10" t="n"/>
    </row>
    <row r="68">
      <c r="A68" s="10" t="n"/>
      <c r="B68" s="10" t="n"/>
      <c r="C68" s="11" t="n"/>
      <c r="D68" s="11" t="n"/>
      <c r="E68" s="11" t="n"/>
      <c r="F68" s="10" t="n"/>
    </row>
    <row r="69">
      <c r="A69" s="10" t="n"/>
      <c r="B69" s="10" t="n"/>
      <c r="C69" s="11" t="n"/>
      <c r="D69" s="11" t="n"/>
      <c r="E69" s="11" t="n"/>
      <c r="F69" s="10" t="n"/>
    </row>
    <row r="70">
      <c r="A70" s="10" t="n"/>
      <c r="B70" s="10" t="n"/>
      <c r="C70" s="11" t="n"/>
      <c r="D70" s="11" t="n"/>
      <c r="E70" s="11" t="n"/>
      <c r="F70" s="10" t="n"/>
    </row>
    <row r="71">
      <c r="A71" s="10" t="n"/>
      <c r="B71" s="10" t="n"/>
      <c r="C71" s="11" t="n"/>
      <c r="D71" s="11" t="n"/>
      <c r="E71" s="11" t="n"/>
      <c r="F71" s="10" t="n"/>
    </row>
    <row r="72">
      <c r="A72" s="10" t="n"/>
      <c r="B72" s="10" t="n"/>
      <c r="C72" s="11" t="n"/>
      <c r="D72" s="11" t="n"/>
      <c r="E72" s="11" t="n"/>
      <c r="F72" s="10" t="n"/>
    </row>
    <row r="73">
      <c r="A73" s="10" t="n"/>
      <c r="B73" s="10" t="n"/>
      <c r="C73" s="11" t="n"/>
      <c r="D73" s="11" t="n"/>
      <c r="E73" s="11" t="n"/>
      <c r="F73" s="10" t="n"/>
    </row>
    <row r="74">
      <c r="A74" s="10" t="n"/>
      <c r="B74" s="10" t="n"/>
      <c r="C74" s="11" t="n"/>
      <c r="D74" s="11" t="n"/>
      <c r="E74" s="11" t="n"/>
      <c r="F74" s="10" t="n"/>
    </row>
    <row r="75">
      <c r="A75" s="10" t="n"/>
      <c r="B75" s="10" t="n"/>
      <c r="C75" s="11" t="n"/>
      <c r="D75" s="11" t="n"/>
      <c r="E75" s="11" t="n"/>
      <c r="F75" s="10" t="n"/>
    </row>
    <row r="76">
      <c r="A76" s="10" t="n"/>
      <c r="B76" s="10" t="n"/>
      <c r="C76" s="11" t="n"/>
      <c r="D76" s="11" t="n"/>
      <c r="E76" s="11" t="n"/>
      <c r="F76" s="10" t="n"/>
    </row>
    <row r="77">
      <c r="A77" s="10" t="n"/>
      <c r="B77" s="10" t="n"/>
      <c r="C77" s="11" t="n"/>
      <c r="D77" s="11" t="n"/>
      <c r="E77" s="11" t="n"/>
      <c r="F77" s="10" t="n"/>
    </row>
    <row r="78">
      <c r="A78" s="10" t="n"/>
      <c r="B78" s="10" t="n"/>
      <c r="C78" s="11" t="n"/>
      <c r="D78" s="11" t="n"/>
      <c r="E78" s="11" t="n"/>
      <c r="F78" s="10" t="n"/>
    </row>
    <row r="79">
      <c r="A79" s="10" t="n"/>
      <c r="B79" s="10" t="n"/>
      <c r="C79" s="11" t="n"/>
      <c r="D79" s="11" t="n"/>
      <c r="E79" s="11" t="n"/>
      <c r="F79" s="10" t="n"/>
    </row>
    <row r="80">
      <c r="A80" s="10" t="n"/>
      <c r="B80" s="10" t="n"/>
      <c r="C80" s="11" t="n"/>
      <c r="D80" s="11" t="n"/>
      <c r="E80" s="11" t="n"/>
      <c r="F80" s="10" t="n"/>
    </row>
    <row r="81">
      <c r="A81" s="10" t="n"/>
      <c r="B81" s="10" t="n"/>
      <c r="C81" s="11" t="n"/>
      <c r="D81" s="11" t="n"/>
      <c r="E81" s="11" t="n"/>
      <c r="F81" s="10" t="n"/>
    </row>
    <row r="82">
      <c r="A82" s="10" t="n"/>
      <c r="B82" s="10" t="n"/>
      <c r="C82" s="11" t="n"/>
      <c r="D82" s="11" t="n"/>
      <c r="E82" s="11" t="n"/>
      <c r="F82" s="10" t="n"/>
    </row>
    <row r="83">
      <c r="A83" s="10" t="n"/>
      <c r="B83" s="10" t="n"/>
      <c r="C83" s="11" t="n"/>
      <c r="D83" s="11" t="n"/>
      <c r="E83" s="11" t="n"/>
      <c r="F83" s="10" t="n"/>
    </row>
    <row r="84">
      <c r="A84" s="10" t="n"/>
      <c r="B84" s="10" t="n"/>
      <c r="C84" s="11" t="n"/>
      <c r="D84" s="11" t="n"/>
      <c r="E84" s="11" t="n"/>
      <c r="F84" s="10" t="n"/>
    </row>
    <row r="85">
      <c r="A85" s="10" t="n"/>
      <c r="B85" s="10" t="n"/>
      <c r="C85" s="11" t="n"/>
      <c r="D85" s="11" t="n"/>
      <c r="E85" s="11" t="n"/>
      <c r="F85" s="10" t="n"/>
    </row>
    <row r="86">
      <c r="A86" s="10" t="n"/>
      <c r="B86" s="10" t="n"/>
      <c r="C86" s="11" t="n"/>
      <c r="D86" s="11" t="n"/>
      <c r="E86" s="11" t="n"/>
      <c r="F86" s="10" t="n"/>
    </row>
    <row r="87">
      <c r="A87" s="10" t="n"/>
      <c r="B87" s="10" t="n"/>
      <c r="C87" s="11" t="n"/>
      <c r="D87" s="11" t="n"/>
      <c r="E87" s="11" t="n"/>
      <c r="F87" s="10" t="n"/>
    </row>
    <row r="88">
      <c r="A88" s="10" t="n"/>
      <c r="B88" s="10" t="n"/>
      <c r="C88" s="11" t="n"/>
      <c r="D88" s="11" t="n"/>
      <c r="E88" s="11" t="n"/>
      <c r="F88" s="10" t="n"/>
    </row>
    <row r="89">
      <c r="A89" s="10" t="n"/>
      <c r="B89" s="10" t="n"/>
      <c r="C89" s="11" t="n"/>
      <c r="D89" s="11" t="n"/>
      <c r="E89" s="11" t="n"/>
      <c r="F89" s="10" t="n"/>
    </row>
    <row r="90">
      <c r="A90" s="10" t="n"/>
      <c r="B90" s="10" t="n"/>
      <c r="C90" s="11" t="n"/>
      <c r="D90" s="11" t="n"/>
      <c r="E90" s="11" t="n"/>
      <c r="F90" s="10" t="n"/>
    </row>
    <row r="91">
      <c r="A91" s="10" t="n"/>
      <c r="B91" s="10" t="n"/>
      <c r="C91" s="11" t="n"/>
      <c r="D91" s="11" t="n"/>
      <c r="E91" s="11" t="n"/>
      <c r="F91" s="10" t="n"/>
    </row>
    <row r="92">
      <c r="A92" s="10" t="n"/>
      <c r="B92" s="10" t="n"/>
      <c r="C92" s="11" t="n"/>
      <c r="D92" s="11" t="n"/>
      <c r="E92" s="11" t="n"/>
      <c r="F92" s="10" t="n"/>
    </row>
    <row r="93">
      <c r="A93" s="10" t="n"/>
      <c r="B93" s="10" t="n"/>
      <c r="C93" s="11" t="n"/>
      <c r="D93" s="11" t="n"/>
      <c r="E93" s="11" t="n"/>
      <c r="F93" s="10" t="n"/>
    </row>
    <row r="94">
      <c r="A94" s="10" t="n"/>
      <c r="B94" s="10" t="n"/>
      <c r="C94" s="11" t="n"/>
      <c r="D94" s="11" t="n"/>
      <c r="E94" s="11" t="n"/>
      <c r="F94" s="10" t="n"/>
    </row>
    <row r="95">
      <c r="A95" s="10" t="n"/>
      <c r="B95" s="10" t="n"/>
      <c r="C95" s="11" t="n"/>
      <c r="D95" s="11" t="n"/>
      <c r="E95" s="11" t="n"/>
      <c r="F95" s="10" t="n"/>
    </row>
    <row r="96">
      <c r="A96" s="10" t="n"/>
      <c r="B96" s="10" t="n"/>
      <c r="C96" s="11" t="n"/>
      <c r="D96" s="11" t="n"/>
      <c r="E96" s="11" t="n"/>
      <c r="F96" s="10" t="n"/>
    </row>
    <row r="97">
      <c r="A97" s="10" t="n"/>
      <c r="B97" s="10" t="n"/>
      <c r="C97" s="11" t="n"/>
      <c r="D97" s="11" t="n"/>
      <c r="E97" s="11" t="n"/>
      <c r="F97" s="10" t="n"/>
    </row>
    <row r="98">
      <c r="A98" s="10" t="n"/>
      <c r="B98" s="10" t="n"/>
      <c r="C98" s="11" t="n"/>
      <c r="D98" s="11" t="n"/>
      <c r="E98" s="11" t="n"/>
      <c r="F98" s="10" t="n"/>
    </row>
    <row r="99">
      <c r="A99" s="10" t="n"/>
      <c r="B99" s="10" t="n"/>
      <c r="C99" s="11" t="n"/>
      <c r="D99" s="11" t="n"/>
      <c r="E99" s="11" t="n"/>
      <c r="F99" s="10" t="n"/>
    </row>
    <row r="100">
      <c r="A100" s="10" t="n"/>
      <c r="B100" s="10" t="n"/>
      <c r="C100" s="11" t="n"/>
      <c r="D100" s="11" t="n"/>
      <c r="E100" s="11" t="n"/>
      <c r="F100" s="10" t="n"/>
    </row>
    <row r="101">
      <c r="A101" s="10" t="n"/>
      <c r="B101" s="10" t="n"/>
      <c r="C101" s="11" t="n"/>
      <c r="D101" s="11" t="n"/>
      <c r="E101" s="11" t="n"/>
      <c r="F101" s="10" t="n"/>
    </row>
    <row r="102">
      <c r="A102" s="10" t="n"/>
      <c r="B102" s="10" t="n"/>
      <c r="C102" s="11" t="n"/>
      <c r="D102" s="11" t="n"/>
      <c r="E102" s="11" t="n"/>
      <c r="F102" s="10" t="n"/>
    </row>
    <row r="103">
      <c r="A103" s="10" t="n"/>
      <c r="B103" s="10" t="n"/>
      <c r="C103" s="11" t="n"/>
      <c r="D103" s="11" t="n"/>
      <c r="E103" s="11" t="n"/>
      <c r="F103" s="10" t="n"/>
    </row>
    <row r="104">
      <c r="A104" s="10" t="n"/>
      <c r="B104" s="10" t="n"/>
      <c r="C104" s="11" t="n"/>
      <c r="D104" s="11" t="n"/>
      <c r="E104" s="11" t="n"/>
      <c r="F104" s="10" t="n"/>
    </row>
    <row r="105">
      <c r="A105" s="10" t="n"/>
      <c r="B105" s="10" t="n"/>
      <c r="C105" s="11" t="n"/>
      <c r="D105" s="11" t="n"/>
      <c r="E105" s="11" t="n"/>
      <c r="F105" s="10" t="n"/>
    </row>
    <row r="106">
      <c r="A106" s="10" t="n"/>
      <c r="B106" s="10" t="n"/>
      <c r="C106" s="11" t="n"/>
      <c r="D106" s="11" t="n"/>
      <c r="E106" s="11" t="n"/>
      <c r="F106" s="10" t="n"/>
    </row>
    <row r="107">
      <c r="A107" s="10" t="n"/>
      <c r="B107" s="10" t="n"/>
      <c r="C107" s="11" t="n"/>
      <c r="D107" s="11" t="n"/>
      <c r="E107" s="11" t="n"/>
      <c r="F107" s="10" t="n"/>
    </row>
    <row r="108">
      <c r="A108" s="10" t="n"/>
      <c r="B108" s="10" t="n"/>
      <c r="C108" s="11" t="n"/>
      <c r="D108" s="11" t="n"/>
      <c r="E108" s="11" t="n"/>
      <c r="F108" s="10" t="n"/>
    </row>
    <row r="109">
      <c r="A109" s="10" t="n"/>
      <c r="B109" s="10" t="n"/>
      <c r="C109" s="11" t="n"/>
      <c r="D109" s="11" t="n"/>
      <c r="E109" s="11" t="n"/>
      <c r="F109" s="10" t="n"/>
    </row>
    <row r="110">
      <c r="A110" s="10" t="n"/>
      <c r="B110" s="10" t="n"/>
      <c r="C110" s="11" t="n"/>
      <c r="D110" s="11" t="n"/>
      <c r="E110" s="11" t="n"/>
      <c r="F110" s="10" t="n"/>
    </row>
    <row r="111">
      <c r="A111" s="10" t="n"/>
      <c r="B111" s="10" t="n"/>
      <c r="C111" s="11" t="n"/>
      <c r="D111" s="11" t="n"/>
      <c r="E111" s="11" t="n"/>
      <c r="F111" s="10" t="n"/>
    </row>
    <row r="112">
      <c r="A112" s="10" t="n"/>
      <c r="B112" s="10" t="n"/>
      <c r="C112" s="11" t="n"/>
      <c r="D112" s="11" t="n"/>
      <c r="E112" s="11" t="n"/>
      <c r="F112" s="10" t="n"/>
    </row>
    <row r="113">
      <c r="A113" s="10" t="n"/>
      <c r="B113" s="10" t="n"/>
      <c r="C113" s="11" t="n"/>
      <c r="D113" s="11" t="n"/>
      <c r="E113" s="11" t="n"/>
      <c r="F113" s="10" t="n"/>
    </row>
    <row r="114">
      <c r="A114" s="10" t="n"/>
      <c r="B114" s="10" t="n"/>
      <c r="C114" s="11" t="n"/>
      <c r="D114" s="11" t="n"/>
      <c r="E114" s="11" t="n"/>
      <c r="F114" s="10" t="n"/>
    </row>
    <row r="115">
      <c r="A115" s="10" t="n"/>
      <c r="B115" s="10" t="n"/>
      <c r="C115" s="11" t="n"/>
      <c r="D115" s="11" t="n"/>
      <c r="E115" s="11" t="n"/>
      <c r="F115" s="10" t="n"/>
    </row>
    <row r="116">
      <c r="A116" s="10" t="n"/>
      <c r="B116" s="10" t="n"/>
      <c r="C116" s="11" t="n"/>
      <c r="D116" s="11" t="n"/>
      <c r="E116" s="11" t="n"/>
      <c r="F116" s="10" t="n"/>
    </row>
    <row r="117">
      <c r="A117" s="10" t="n"/>
      <c r="B117" s="10" t="n"/>
      <c r="C117" s="11" t="n"/>
      <c r="D117" s="11" t="n"/>
      <c r="E117" s="11" t="n"/>
      <c r="F117" s="10" t="n"/>
    </row>
    <row r="118">
      <c r="A118" s="10" t="n"/>
      <c r="B118" s="10" t="n"/>
      <c r="C118" s="11" t="n"/>
      <c r="D118" s="11" t="n"/>
      <c r="E118" s="11" t="n"/>
      <c r="F118" s="10" t="n"/>
    </row>
    <row r="119">
      <c r="A119" s="10" t="n"/>
      <c r="B119" s="10" t="n"/>
      <c r="C119" s="11" t="n"/>
      <c r="D119" s="11" t="n"/>
      <c r="E119" s="11" t="n"/>
      <c r="F119" s="10" t="n"/>
    </row>
    <row r="120">
      <c r="A120" s="10" t="n"/>
      <c r="B120" s="10" t="n"/>
      <c r="C120" s="11" t="n"/>
      <c r="D120" s="11" t="n"/>
      <c r="E120" s="11" t="n"/>
      <c r="F120" s="10" t="n"/>
    </row>
    <row r="121">
      <c r="A121" s="10" t="n"/>
      <c r="B121" s="10" t="n"/>
      <c r="C121" s="11" t="n"/>
      <c r="D121" s="11" t="n"/>
      <c r="E121" s="11" t="n"/>
      <c r="F121" s="10" t="n"/>
    </row>
    <row r="122">
      <c r="A122" s="10" t="n"/>
      <c r="B122" s="10" t="n"/>
      <c r="C122" s="11" t="n"/>
      <c r="D122" s="11" t="n"/>
      <c r="E122" s="11" t="n"/>
      <c r="F122" s="10" t="n"/>
    </row>
    <row r="123">
      <c r="A123" s="10" t="n"/>
      <c r="B123" s="10" t="n"/>
      <c r="C123" s="11" t="n"/>
      <c r="D123" s="11" t="n"/>
      <c r="E123" s="11" t="n"/>
      <c r="F123" s="10" t="n"/>
    </row>
    <row r="124">
      <c r="A124" s="10" t="n"/>
      <c r="B124" s="10" t="n"/>
      <c r="C124" s="11" t="n"/>
      <c r="D124" s="11" t="n"/>
      <c r="E124" s="11" t="n"/>
      <c r="F124" s="10" t="n"/>
    </row>
    <row r="125">
      <c r="A125" s="10" t="n"/>
      <c r="B125" s="10" t="n"/>
      <c r="C125" s="11" t="n"/>
      <c r="D125" s="11" t="n"/>
      <c r="E125" s="11" t="n"/>
      <c r="F125" s="10" t="n"/>
    </row>
    <row r="126">
      <c r="A126" s="10" t="n"/>
      <c r="B126" s="10" t="n"/>
      <c r="C126" s="11" t="n"/>
      <c r="D126" s="11" t="n"/>
      <c r="E126" s="11" t="n"/>
      <c r="F126" s="10" t="n"/>
    </row>
    <row r="127">
      <c r="A127" s="10" t="n"/>
      <c r="B127" s="10" t="n"/>
      <c r="C127" s="11" t="n"/>
      <c r="D127" s="11" t="n"/>
      <c r="E127" s="11" t="n"/>
      <c r="F127" s="10" t="n"/>
    </row>
    <row r="128">
      <c r="A128" s="10" t="n"/>
      <c r="B128" s="10" t="n"/>
      <c r="C128" s="11" t="n"/>
      <c r="D128" s="11" t="n"/>
      <c r="E128" s="11" t="n"/>
      <c r="F128" s="10" t="n"/>
    </row>
    <row r="129">
      <c r="A129" s="10" t="n"/>
      <c r="B129" s="10" t="n"/>
      <c r="C129" s="11" t="n"/>
      <c r="D129" s="11" t="n"/>
      <c r="E129" s="11" t="n"/>
      <c r="F129" s="10" t="n"/>
    </row>
    <row r="130">
      <c r="A130" s="10" t="n"/>
      <c r="B130" s="10" t="n"/>
      <c r="C130" s="11" t="n"/>
      <c r="D130" s="11" t="n"/>
      <c r="E130" s="11" t="n"/>
      <c r="F130" s="10" t="n"/>
    </row>
    <row r="131">
      <c r="A131" s="10" t="n"/>
      <c r="B131" s="10" t="n"/>
      <c r="C131" s="11" t="n"/>
      <c r="D131" s="11" t="n"/>
      <c r="E131" s="11" t="n"/>
      <c r="F131" s="10" t="n"/>
    </row>
    <row r="132">
      <c r="A132" s="10" t="n"/>
      <c r="B132" s="10" t="n"/>
      <c r="C132" s="11" t="n"/>
      <c r="D132" s="11" t="n"/>
      <c r="E132" s="11" t="n"/>
      <c r="F132" s="10" t="n"/>
    </row>
    <row r="133">
      <c r="A133" s="10" t="n"/>
      <c r="B133" s="10" t="n"/>
      <c r="C133" s="11" t="n"/>
      <c r="D133" s="11" t="n"/>
      <c r="E133" s="11" t="n"/>
      <c r="F133" s="10" t="n"/>
    </row>
    <row r="134">
      <c r="A134" s="10" t="n"/>
      <c r="B134" s="10" t="n"/>
      <c r="C134" s="11" t="n"/>
      <c r="D134" s="11" t="n"/>
      <c r="E134" s="11" t="n"/>
      <c r="F134" s="10" t="n"/>
    </row>
    <row r="135">
      <c r="A135" s="10" t="n"/>
      <c r="B135" s="10" t="n"/>
      <c r="C135" s="11" t="n"/>
      <c r="D135" s="11" t="n"/>
      <c r="E135" s="11" t="n"/>
      <c r="F135" s="10" t="n"/>
    </row>
    <row r="136">
      <c r="A136" s="10" t="n"/>
      <c r="B136" s="10" t="n"/>
      <c r="C136" s="11" t="n"/>
      <c r="D136" s="11" t="n"/>
      <c r="E136" s="11" t="n"/>
      <c r="F136" s="10" t="n"/>
    </row>
    <row r="137">
      <c r="A137" s="10" t="n"/>
      <c r="B137" s="10" t="n"/>
      <c r="C137" s="11" t="n"/>
      <c r="D137" s="11" t="n"/>
      <c r="E137" s="11" t="n"/>
      <c r="F137" s="10" t="n"/>
    </row>
    <row r="138">
      <c r="A138" s="10" t="n"/>
      <c r="B138" s="10" t="n"/>
      <c r="C138" s="11" t="n"/>
      <c r="D138" s="11" t="n"/>
      <c r="E138" s="11" t="n"/>
      <c r="F138" s="10" t="n"/>
    </row>
    <row r="139">
      <c r="A139" s="10" t="n"/>
      <c r="B139" s="10" t="n"/>
      <c r="C139" s="11" t="n"/>
      <c r="D139" s="11" t="n"/>
      <c r="E139" s="11" t="n"/>
      <c r="F139" s="10" t="n"/>
    </row>
    <row r="140">
      <c r="A140" s="10" t="n"/>
      <c r="B140" s="10" t="n"/>
      <c r="C140" s="11" t="n"/>
      <c r="D140" s="11" t="n"/>
      <c r="E140" s="11" t="n"/>
      <c r="F140" s="10" t="n"/>
    </row>
    <row r="141">
      <c r="A141" s="10" t="n"/>
      <c r="B141" s="10" t="n"/>
      <c r="C141" s="11" t="n"/>
      <c r="D141" s="11" t="n"/>
      <c r="E141" s="11" t="n"/>
      <c r="F141" s="10" t="n"/>
    </row>
    <row r="142">
      <c r="A142" s="10" t="n"/>
      <c r="B142" s="10" t="n"/>
      <c r="C142" s="11" t="n"/>
      <c r="D142" s="11" t="n"/>
      <c r="E142" s="11" t="n"/>
      <c r="F142" s="10" t="n"/>
    </row>
    <row r="143">
      <c r="A143" s="10" t="n"/>
      <c r="B143" s="10" t="n"/>
      <c r="C143" s="11" t="n"/>
      <c r="D143" s="11" t="n"/>
      <c r="E143" s="11" t="n"/>
      <c r="F143" s="10" t="n"/>
    </row>
    <row r="144">
      <c r="A144" s="10" t="n"/>
      <c r="B144" s="10" t="n"/>
      <c r="C144" s="11" t="n"/>
      <c r="D144" s="11" t="n"/>
      <c r="E144" s="11" t="n"/>
      <c r="F144" s="10" t="n"/>
    </row>
    <row r="145">
      <c r="A145" s="10" t="n"/>
      <c r="B145" s="10" t="n"/>
      <c r="C145" s="11" t="n"/>
      <c r="D145" s="11" t="n"/>
      <c r="E145" s="11" t="n"/>
      <c r="F145" s="10" t="n"/>
    </row>
    <row r="146">
      <c r="A146" s="10" t="n"/>
      <c r="B146" s="10" t="n"/>
      <c r="C146" s="11" t="n"/>
      <c r="D146" s="11" t="n"/>
      <c r="E146" s="11" t="n"/>
      <c r="F146" s="10" t="n"/>
    </row>
    <row r="147">
      <c r="A147" s="10" t="n"/>
      <c r="B147" s="10" t="n"/>
      <c r="C147" s="11" t="n"/>
      <c r="D147" s="11" t="n"/>
      <c r="E147" s="11" t="n"/>
      <c r="F147" s="10" t="n"/>
    </row>
    <row r="148">
      <c r="A148" s="10" t="n"/>
      <c r="B148" s="10" t="n"/>
      <c r="C148" s="11" t="n"/>
      <c r="D148" s="11" t="n"/>
      <c r="E148" s="11" t="n"/>
      <c r="F148" s="10" t="n"/>
    </row>
    <row r="149">
      <c r="A149" s="10" t="n"/>
      <c r="B149" s="10" t="n"/>
      <c r="C149" s="11" t="n"/>
      <c r="D149" s="11" t="n"/>
      <c r="E149" s="11" t="n"/>
      <c r="F149" s="10" t="n"/>
    </row>
    <row r="150">
      <c r="A150" s="10" t="n"/>
      <c r="B150" s="10" t="n"/>
      <c r="C150" s="11" t="n"/>
      <c r="D150" s="11" t="n"/>
      <c r="E150" s="11" t="n"/>
      <c r="F150" s="10" t="n"/>
    </row>
    <row r="151">
      <c r="A151" s="10" t="n"/>
      <c r="B151" s="10" t="n"/>
      <c r="C151" s="11" t="n"/>
      <c r="D151" s="11" t="n"/>
      <c r="E151" s="11" t="n"/>
      <c r="F151" s="10" t="n"/>
    </row>
    <row r="152">
      <c r="A152" s="10" t="n"/>
      <c r="B152" s="10" t="n"/>
      <c r="C152" s="11" t="n"/>
      <c r="D152" s="11" t="n"/>
      <c r="E152" s="11" t="n"/>
      <c r="F152" s="10" t="n"/>
    </row>
    <row r="153">
      <c r="A153" s="10" t="n"/>
      <c r="B153" s="10" t="n"/>
      <c r="C153" s="11" t="n"/>
      <c r="D153" s="11" t="n"/>
      <c r="E153" s="11" t="n"/>
      <c r="F153" s="10" t="n"/>
    </row>
    <row r="154">
      <c r="A154" s="10" t="n"/>
      <c r="B154" s="10" t="n"/>
      <c r="C154" s="11" t="n"/>
      <c r="D154" s="11" t="n"/>
      <c r="E154" s="11" t="n"/>
      <c r="F154" s="10" t="n"/>
    </row>
    <row r="155">
      <c r="A155" s="10" t="n"/>
      <c r="B155" s="10" t="n"/>
      <c r="C155" s="11" t="n"/>
      <c r="D155" s="11" t="n"/>
      <c r="E155" s="11" t="n"/>
      <c r="F155" s="10" t="n"/>
    </row>
    <row r="156">
      <c r="A156" s="10" t="n"/>
      <c r="B156" s="10" t="n"/>
      <c r="C156" s="11" t="n"/>
      <c r="D156" s="11" t="n"/>
      <c r="E156" s="11" t="n"/>
      <c r="F156" s="10" t="n"/>
    </row>
    <row r="157">
      <c r="A157" s="10" t="n"/>
      <c r="B157" s="10" t="n"/>
      <c r="C157" s="11" t="n"/>
      <c r="D157" s="11" t="n"/>
      <c r="E157" s="11" t="n"/>
      <c r="F157" s="10" t="n"/>
    </row>
    <row r="158">
      <c r="A158" s="10" t="n"/>
      <c r="B158" s="10" t="n"/>
      <c r="C158" s="11" t="n"/>
      <c r="D158" s="11" t="n"/>
      <c r="E158" s="11" t="n"/>
      <c r="F158" s="10" t="n"/>
    </row>
    <row r="159">
      <c r="A159" s="10" t="n"/>
      <c r="B159" s="10" t="n"/>
      <c r="C159" s="11" t="n"/>
      <c r="D159" s="11" t="n"/>
      <c r="E159" s="11" t="n"/>
      <c r="F159" s="10" t="n"/>
    </row>
    <row r="160">
      <c r="A160" s="10" t="n"/>
      <c r="B160" s="10" t="n"/>
      <c r="C160" s="11" t="n"/>
      <c r="D160" s="11" t="n"/>
      <c r="E160" s="11" t="n"/>
      <c r="F160" s="10" t="n"/>
    </row>
    <row r="161">
      <c r="A161" s="10" t="n"/>
      <c r="B161" s="10" t="n"/>
      <c r="C161" s="11" t="n"/>
      <c r="D161" s="11" t="n"/>
      <c r="E161" s="11" t="n"/>
      <c r="F161" s="10" t="n"/>
    </row>
    <row r="162">
      <c r="A162" s="10" t="n"/>
      <c r="B162" s="10" t="n"/>
      <c r="C162" s="11" t="n"/>
      <c r="D162" s="11" t="n"/>
      <c r="E162" s="11" t="n"/>
      <c r="F162" s="10" t="n"/>
    </row>
    <row r="163">
      <c r="A163" s="10" t="n"/>
      <c r="B163" s="10" t="n"/>
      <c r="C163" s="11" t="n"/>
      <c r="D163" s="11" t="n"/>
      <c r="E163" s="11" t="n"/>
      <c r="F163" s="10" t="n"/>
    </row>
    <row r="164">
      <c r="A164" s="10" t="n"/>
      <c r="B164" s="10" t="n"/>
      <c r="C164" s="11" t="n"/>
      <c r="D164" s="11" t="n"/>
      <c r="E164" s="11" t="n"/>
      <c r="F164" s="10" t="n"/>
    </row>
    <row r="165">
      <c r="A165" s="10" t="n"/>
      <c r="B165" s="10" t="n"/>
      <c r="C165" s="11" t="n"/>
      <c r="D165" s="11" t="n"/>
      <c r="E165" s="11" t="n"/>
      <c r="F165" s="10" t="n"/>
    </row>
    <row r="166">
      <c r="A166" s="10" t="n"/>
      <c r="B166" s="10" t="n"/>
      <c r="C166" s="11" t="n"/>
      <c r="D166" s="11" t="n"/>
      <c r="E166" s="11" t="n"/>
      <c r="F166" s="10" t="n"/>
    </row>
    <row r="167">
      <c r="A167" s="10" t="n"/>
      <c r="B167" s="10" t="n"/>
      <c r="C167" s="11" t="n"/>
      <c r="D167" s="11" t="n"/>
      <c r="E167" s="11" t="n"/>
      <c r="F167" s="10" t="n"/>
    </row>
    <row r="168">
      <c r="A168" s="10" t="n"/>
      <c r="B168" s="10" t="n"/>
      <c r="C168" s="11" t="n"/>
      <c r="D168" s="11" t="n"/>
      <c r="E168" s="11" t="n"/>
      <c r="F168" s="10" t="n"/>
    </row>
    <row r="169">
      <c r="A169" s="10" t="n"/>
      <c r="B169" s="10" t="n"/>
      <c r="C169" s="11" t="n"/>
      <c r="D169" s="11" t="n"/>
      <c r="E169" s="11" t="n"/>
      <c r="F169" s="10" t="n"/>
    </row>
    <row r="170">
      <c r="A170" s="10" t="n"/>
      <c r="B170" s="10" t="n"/>
      <c r="C170" s="11" t="n"/>
      <c r="D170" s="11" t="n"/>
      <c r="E170" s="11" t="n"/>
      <c r="F170" s="10" t="n"/>
    </row>
    <row r="171">
      <c r="A171" s="10" t="n"/>
      <c r="B171" s="10" t="n"/>
      <c r="C171" s="11" t="n"/>
      <c r="D171" s="11" t="n"/>
      <c r="E171" s="11" t="n"/>
      <c r="F171" s="10" t="n"/>
    </row>
    <row r="172">
      <c r="A172" s="10" t="n"/>
      <c r="B172" s="10" t="n"/>
      <c r="C172" s="11" t="n"/>
      <c r="D172" s="11" t="n"/>
      <c r="E172" s="11" t="n"/>
      <c r="F172" s="10" t="n"/>
    </row>
    <row r="173">
      <c r="A173" s="10" t="n"/>
      <c r="B173" s="10" t="n"/>
      <c r="C173" s="11" t="n"/>
      <c r="D173" s="11" t="n"/>
      <c r="E173" s="11" t="n"/>
      <c r="F173" s="10" t="n"/>
    </row>
    <row r="174">
      <c r="A174" s="10" t="n"/>
      <c r="B174" s="10" t="n"/>
      <c r="C174" s="11" t="n"/>
      <c r="D174" s="11" t="n"/>
      <c r="E174" s="11" t="n"/>
      <c r="F174" s="10" t="n"/>
    </row>
    <row r="175">
      <c r="A175" s="10" t="n"/>
      <c r="B175" s="10" t="n"/>
      <c r="C175" s="11" t="n"/>
      <c r="D175" s="11" t="n"/>
      <c r="E175" s="11" t="n"/>
      <c r="F175" s="10" t="n"/>
    </row>
    <row r="176">
      <c r="A176" s="10" t="n"/>
      <c r="B176" s="10" t="n"/>
      <c r="C176" s="11" t="n"/>
      <c r="D176" s="11" t="n"/>
      <c r="E176" s="11" t="n"/>
      <c r="F176" s="10" t="n"/>
    </row>
    <row r="177">
      <c r="A177" s="10" t="n"/>
      <c r="B177" s="10" t="n"/>
      <c r="C177" s="11" t="n"/>
      <c r="D177" s="11" t="n"/>
      <c r="E177" s="11" t="n"/>
      <c r="F177" s="10" t="n"/>
    </row>
    <row r="178">
      <c r="A178" s="10" t="n"/>
      <c r="B178" s="10" t="n"/>
      <c r="C178" s="11" t="n"/>
      <c r="D178" s="11" t="n"/>
      <c r="E178" s="11" t="n"/>
      <c r="F178" s="10" t="n"/>
    </row>
    <row r="179">
      <c r="A179" s="10" t="n"/>
      <c r="B179" s="10" t="n"/>
      <c r="C179" s="11" t="n"/>
      <c r="D179" s="11" t="n"/>
      <c r="E179" s="11" t="n"/>
      <c r="F179" s="10" t="n"/>
    </row>
    <row r="180">
      <c r="A180" s="10" t="n"/>
      <c r="B180" s="10" t="n"/>
      <c r="C180" s="11" t="n"/>
      <c r="D180" s="11" t="n"/>
      <c r="E180" s="11" t="n"/>
      <c r="F180" s="10" t="n"/>
    </row>
    <row r="181">
      <c r="A181" s="10" t="n"/>
      <c r="B181" s="10" t="n"/>
      <c r="C181" s="11" t="n"/>
      <c r="D181" s="11" t="n"/>
      <c r="E181" s="11" t="n"/>
      <c r="F181" s="10" t="n"/>
    </row>
    <row r="182">
      <c r="A182" s="10" t="n"/>
      <c r="B182" s="10" t="n"/>
      <c r="C182" s="11" t="n"/>
      <c r="D182" s="11" t="n"/>
      <c r="E182" s="11" t="n"/>
      <c r="F182" s="10" t="n"/>
    </row>
    <row r="183">
      <c r="A183" s="10" t="n"/>
      <c r="B183" s="10" t="n"/>
      <c r="C183" s="11" t="n"/>
      <c r="D183" s="11" t="n"/>
      <c r="E183" s="11" t="n"/>
      <c r="F183" s="10" t="n"/>
    </row>
    <row r="184">
      <c r="A184" s="10" t="n"/>
      <c r="B184" s="10" t="n"/>
      <c r="C184" s="11" t="n"/>
      <c r="D184" s="11" t="n"/>
      <c r="E184" s="11" t="n"/>
      <c r="F184" s="10" t="n"/>
    </row>
    <row r="185">
      <c r="A185" s="10" t="n"/>
      <c r="B185" s="10" t="n"/>
      <c r="C185" s="11" t="n"/>
      <c r="D185" s="11" t="n"/>
      <c r="E185" s="11" t="n"/>
      <c r="F185" s="10" t="n"/>
    </row>
    <row r="186">
      <c r="A186" s="10" t="n"/>
      <c r="B186" s="10" t="n"/>
      <c r="C186" s="11" t="n"/>
      <c r="D186" s="11" t="n"/>
      <c r="E186" s="11" t="n"/>
      <c r="F186" s="10" t="n"/>
    </row>
    <row r="187">
      <c r="A187" s="10" t="n"/>
      <c r="B187" s="10" t="n"/>
      <c r="C187" s="11" t="n"/>
      <c r="D187" s="11" t="n"/>
      <c r="E187" s="11" t="n"/>
      <c r="F187" s="10" t="n"/>
    </row>
    <row r="188">
      <c r="A188" s="10" t="n"/>
      <c r="B188" s="10" t="n"/>
      <c r="C188" s="11" t="n"/>
      <c r="D188" s="11" t="n"/>
      <c r="E188" s="11" t="n"/>
      <c r="F188" s="10" t="n"/>
    </row>
    <row r="189">
      <c r="A189" s="10" t="n"/>
      <c r="B189" s="10" t="n"/>
      <c r="C189" s="11" t="n"/>
      <c r="D189" s="11" t="n"/>
      <c r="E189" s="11" t="n"/>
      <c r="F189" s="10" t="n"/>
    </row>
    <row r="190">
      <c r="A190" s="10" t="n"/>
      <c r="B190" s="10" t="n"/>
      <c r="C190" s="11" t="n"/>
      <c r="D190" s="11" t="n"/>
      <c r="E190" s="11" t="n"/>
      <c r="F190" s="10" t="n"/>
    </row>
    <row r="191">
      <c r="A191" s="10" t="n"/>
      <c r="B191" s="10" t="n"/>
      <c r="C191" s="11" t="n"/>
      <c r="D191" s="11" t="n"/>
      <c r="E191" s="11" t="n"/>
      <c r="F191" s="10" t="n"/>
    </row>
    <row r="192">
      <c r="A192" s="10" t="n"/>
      <c r="B192" s="10" t="n"/>
      <c r="C192" s="11" t="n"/>
      <c r="D192" s="11" t="n"/>
      <c r="E192" s="11" t="n"/>
      <c r="F192" s="10" t="n"/>
    </row>
    <row r="193">
      <c r="A193" s="10" t="n"/>
      <c r="B193" s="10" t="n"/>
      <c r="C193" s="11" t="n"/>
      <c r="D193" s="11" t="n"/>
      <c r="E193" s="11" t="n"/>
      <c r="F193" s="10" t="n"/>
    </row>
    <row r="194">
      <c r="A194" s="10" t="n"/>
      <c r="B194" s="10" t="n"/>
      <c r="C194" s="11" t="n"/>
      <c r="D194" s="11" t="n"/>
      <c r="E194" s="11" t="n"/>
      <c r="F194" s="10" t="n"/>
    </row>
    <row r="195">
      <c r="A195" s="10" t="n"/>
      <c r="B195" s="10" t="n"/>
      <c r="C195" s="11" t="n"/>
      <c r="D195" s="11" t="n"/>
      <c r="E195" s="11" t="n"/>
      <c r="F195" s="10" t="n"/>
    </row>
    <row r="196">
      <c r="A196" s="10" t="n"/>
      <c r="B196" s="10" t="n"/>
      <c r="C196" s="11" t="n"/>
      <c r="D196" s="11" t="n"/>
      <c r="E196" s="11" t="n"/>
      <c r="F196" s="10" t="n"/>
    </row>
    <row r="197">
      <c r="A197" s="10" t="n"/>
      <c r="B197" s="10" t="n"/>
      <c r="C197" s="11" t="n"/>
      <c r="D197" s="11" t="n"/>
      <c r="E197" s="11" t="n"/>
      <c r="F197" s="10" t="n"/>
    </row>
    <row r="198">
      <c r="A198" s="10" t="n"/>
      <c r="B198" s="10" t="n"/>
      <c r="C198" s="11" t="n"/>
      <c r="D198" s="11" t="n"/>
      <c r="E198" s="11" t="n"/>
      <c r="F198" s="10" t="n"/>
    </row>
    <row r="199">
      <c r="A199" s="10" t="n"/>
      <c r="B199" s="10" t="n"/>
      <c r="C199" s="11" t="n"/>
      <c r="D199" s="11" t="n"/>
      <c r="E199" s="11" t="n"/>
      <c r="F199" s="10" t="n"/>
    </row>
    <row r="200">
      <c r="A200" s="10" t="n"/>
      <c r="B200" s="10" t="n"/>
      <c r="C200" s="11" t="n"/>
      <c r="D200" s="11" t="n"/>
      <c r="E200" s="11" t="n"/>
      <c r="F200" s="10" t="n"/>
    </row>
    <row r="201">
      <c r="A201" s="10" t="n"/>
      <c r="B201" s="10" t="n"/>
      <c r="C201" s="11" t="n"/>
      <c r="D201" s="11" t="n"/>
      <c r="E201" s="11" t="n"/>
      <c r="F201" s="10" t="n"/>
    </row>
    <row r="202">
      <c r="A202" s="10" t="n"/>
      <c r="B202" s="10" t="n"/>
      <c r="C202" s="11" t="n"/>
      <c r="D202" s="11" t="n"/>
      <c r="E202" s="11" t="n"/>
      <c r="F202" s="10" t="n"/>
    </row>
    <row r="203">
      <c r="A203" s="10" t="n"/>
      <c r="B203" s="10" t="n"/>
      <c r="C203" s="11" t="n"/>
      <c r="D203" s="11" t="n"/>
      <c r="E203" s="11" t="n"/>
      <c r="F203" s="10" t="n"/>
    </row>
  </sheetData>
  <mergeCells count="2">
    <mergeCell ref="A2:F2"/>
    <mergeCell ref="A1:F1"/>
  </mergeCells>
  <dataValidations count="1">
    <dataValidation sqref="B4:B203" showDropDown="0" showInputMessage="0" showErrorMessage="0" allowBlank="1" type="list">
      <formula1>Справочники!$A$5:$A$54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Долги поставщикам — считается автоматически</t>
        </is>
      </c>
    </row>
    <row r="2">
      <c r="A2" s="5" t="inlineStr">
        <is>
          <t>Текущий долг = Начальный + Накладные − Оплачено − Возвраты (из листа «Выплаты»).</t>
        </is>
      </c>
    </row>
    <row r="3" ht="30" customHeight="1">
      <c r="A3" s="6" t="inlineStr">
        <is>
          <t>Поставщик</t>
        </is>
      </c>
      <c r="B3" s="6" t="inlineStr">
        <is>
          <t>Начальный долг</t>
        </is>
      </c>
      <c r="C3" s="6" t="inlineStr">
        <is>
          <t>Накладные</t>
        </is>
      </c>
      <c r="D3" s="6" t="inlineStr">
        <is>
          <t>Оплачено</t>
        </is>
      </c>
      <c r="E3" s="6" t="inlineStr">
        <is>
          <t>Текущий долг</t>
        </is>
      </c>
    </row>
    <row r="4">
      <c r="A4" s="10">
        <f>IF(Справочники!A5="","",Справочники!A5)</f>
        <v/>
      </c>
      <c r="B4" s="11">
        <f>IF(A4="","",Справочники!C5)</f>
        <v/>
      </c>
      <c r="C4" s="11">
        <f>IF(A4="","",SUMIF(Выплаты!$B:$B,A4,Выплаты!$D:$D))</f>
        <v/>
      </c>
      <c r="D4" s="11">
        <f>IF(A4="","",SUMIF(Выплаты!$B:$B,A4,Выплаты!$C:$C)+SUMIF(Выплаты!$B:$B,A4,Выплаты!$E:$E))</f>
        <v/>
      </c>
      <c r="E4" s="11">
        <f>IF(A4="","",B4+C4-D4)</f>
        <v/>
      </c>
    </row>
    <row r="5">
      <c r="A5" s="10">
        <f>IF(Справочники!A6="","",Справочники!A6)</f>
        <v/>
      </c>
      <c r="B5" s="11">
        <f>IF(A5="","",Справочники!C6)</f>
        <v/>
      </c>
      <c r="C5" s="11">
        <f>IF(A5="","",SUMIF(Выплаты!$B:$B,A5,Выплаты!$D:$D))</f>
        <v/>
      </c>
      <c r="D5" s="11">
        <f>IF(A5="","",SUMIF(Выплаты!$B:$B,A5,Выплаты!$C:$C)+SUMIF(Выплаты!$B:$B,A5,Выплаты!$E:$E))</f>
        <v/>
      </c>
      <c r="E5" s="11">
        <f>IF(A5="","",B5+C5-D5)</f>
        <v/>
      </c>
    </row>
    <row r="6">
      <c r="A6" s="10">
        <f>IF(Справочники!A7="","",Справочники!A7)</f>
        <v/>
      </c>
      <c r="B6" s="11">
        <f>IF(A6="","",Справочники!C7)</f>
        <v/>
      </c>
      <c r="C6" s="11">
        <f>IF(A6="","",SUMIF(Выплаты!$B:$B,A6,Выплаты!$D:$D))</f>
        <v/>
      </c>
      <c r="D6" s="11">
        <f>IF(A6="","",SUMIF(Выплаты!$B:$B,A6,Выплаты!$C:$C)+SUMIF(Выплаты!$B:$B,A6,Выплаты!$E:$E))</f>
        <v/>
      </c>
      <c r="E6" s="11">
        <f>IF(A6="","",B6+C6-D6)</f>
        <v/>
      </c>
    </row>
    <row r="7">
      <c r="A7" s="10">
        <f>IF(Справочники!A8="","",Справочники!A8)</f>
        <v/>
      </c>
      <c r="B7" s="11">
        <f>IF(A7="","",Справочники!C8)</f>
        <v/>
      </c>
      <c r="C7" s="11">
        <f>IF(A7="","",SUMIF(Выплаты!$B:$B,A7,Выплаты!$D:$D))</f>
        <v/>
      </c>
      <c r="D7" s="11">
        <f>IF(A7="","",SUMIF(Выплаты!$B:$B,A7,Выплаты!$C:$C)+SUMIF(Выплаты!$B:$B,A7,Выплаты!$E:$E))</f>
        <v/>
      </c>
      <c r="E7" s="11">
        <f>IF(A7="","",B7+C7-D7)</f>
        <v/>
      </c>
    </row>
    <row r="8">
      <c r="A8" s="10">
        <f>IF(Справочники!A9="","",Справочники!A9)</f>
        <v/>
      </c>
      <c r="B8" s="11">
        <f>IF(A8="","",Справочники!C9)</f>
        <v/>
      </c>
      <c r="C8" s="11">
        <f>IF(A8="","",SUMIF(Выплаты!$B:$B,A8,Выплаты!$D:$D))</f>
        <v/>
      </c>
      <c r="D8" s="11">
        <f>IF(A8="","",SUMIF(Выплаты!$B:$B,A8,Выплаты!$C:$C)+SUMIF(Выплаты!$B:$B,A8,Выплаты!$E:$E))</f>
        <v/>
      </c>
      <c r="E8" s="11">
        <f>IF(A8="","",B8+C8-D8)</f>
        <v/>
      </c>
    </row>
    <row r="9">
      <c r="A9" s="10">
        <f>IF(Справочники!A10="","",Справочники!A10)</f>
        <v/>
      </c>
      <c r="B9" s="11">
        <f>IF(A9="","",Справочники!C10)</f>
        <v/>
      </c>
      <c r="C9" s="11">
        <f>IF(A9="","",SUMIF(Выплаты!$B:$B,A9,Выплаты!$D:$D))</f>
        <v/>
      </c>
      <c r="D9" s="11">
        <f>IF(A9="","",SUMIF(Выплаты!$B:$B,A9,Выплаты!$C:$C)+SUMIF(Выплаты!$B:$B,A9,Выплаты!$E:$E))</f>
        <v/>
      </c>
      <c r="E9" s="11">
        <f>IF(A9="","",B9+C9-D9)</f>
        <v/>
      </c>
    </row>
    <row r="10">
      <c r="A10" s="10">
        <f>IF(Справочники!A11="","",Справочники!A11)</f>
        <v/>
      </c>
      <c r="B10" s="11">
        <f>IF(A10="","",Справочники!C11)</f>
        <v/>
      </c>
      <c r="C10" s="11">
        <f>IF(A10="","",SUMIF(Выплаты!$B:$B,A10,Выплаты!$D:$D))</f>
        <v/>
      </c>
      <c r="D10" s="11">
        <f>IF(A10="","",SUMIF(Выплаты!$B:$B,A10,Выплаты!$C:$C)+SUMIF(Выплаты!$B:$B,A10,Выплаты!$E:$E))</f>
        <v/>
      </c>
      <c r="E10" s="11">
        <f>IF(A10="","",B10+C10-D10)</f>
        <v/>
      </c>
    </row>
    <row r="11">
      <c r="A11" s="10">
        <f>IF(Справочники!A12="","",Справочники!A12)</f>
        <v/>
      </c>
      <c r="B11" s="11">
        <f>IF(A11="","",Справочники!C12)</f>
        <v/>
      </c>
      <c r="C11" s="11">
        <f>IF(A11="","",SUMIF(Выплаты!$B:$B,A11,Выплаты!$D:$D))</f>
        <v/>
      </c>
      <c r="D11" s="11">
        <f>IF(A11="","",SUMIF(Выплаты!$B:$B,A11,Выплаты!$C:$C)+SUMIF(Выплаты!$B:$B,A11,Выплаты!$E:$E))</f>
        <v/>
      </c>
      <c r="E11" s="11">
        <f>IF(A11="","",B11+C11-D11)</f>
        <v/>
      </c>
    </row>
    <row r="12">
      <c r="A12" s="10">
        <f>IF(Справочники!A13="","",Справочники!A13)</f>
        <v/>
      </c>
      <c r="B12" s="11">
        <f>IF(A12="","",Справочники!C13)</f>
        <v/>
      </c>
      <c r="C12" s="11">
        <f>IF(A12="","",SUMIF(Выплаты!$B:$B,A12,Выплаты!$D:$D))</f>
        <v/>
      </c>
      <c r="D12" s="11">
        <f>IF(A12="","",SUMIF(Выплаты!$B:$B,A12,Выплаты!$C:$C)+SUMIF(Выплаты!$B:$B,A12,Выплаты!$E:$E))</f>
        <v/>
      </c>
      <c r="E12" s="11">
        <f>IF(A12="","",B12+C12-D12)</f>
        <v/>
      </c>
    </row>
    <row r="13">
      <c r="A13" s="10">
        <f>IF(Справочники!A14="","",Справочники!A14)</f>
        <v/>
      </c>
      <c r="B13" s="11">
        <f>IF(A13="","",Справочники!C14)</f>
        <v/>
      </c>
      <c r="C13" s="11">
        <f>IF(A13="","",SUMIF(Выплаты!$B:$B,A13,Выплаты!$D:$D))</f>
        <v/>
      </c>
      <c r="D13" s="11">
        <f>IF(A13="","",SUMIF(Выплаты!$B:$B,A13,Выплаты!$C:$C)+SUMIF(Выплаты!$B:$B,A13,Выплаты!$E:$E))</f>
        <v/>
      </c>
      <c r="E13" s="11">
        <f>IF(A13="","",B13+C13-D13)</f>
        <v/>
      </c>
    </row>
    <row r="14">
      <c r="A14" s="10">
        <f>IF(Справочники!A15="","",Справочники!A15)</f>
        <v/>
      </c>
      <c r="B14" s="11">
        <f>IF(A14="","",Справочники!C15)</f>
        <v/>
      </c>
      <c r="C14" s="11">
        <f>IF(A14="","",SUMIF(Выплаты!$B:$B,A14,Выплаты!$D:$D))</f>
        <v/>
      </c>
      <c r="D14" s="11">
        <f>IF(A14="","",SUMIF(Выплаты!$B:$B,A14,Выплаты!$C:$C)+SUMIF(Выплаты!$B:$B,A14,Выплаты!$E:$E))</f>
        <v/>
      </c>
      <c r="E14" s="11">
        <f>IF(A14="","",B14+C14-D14)</f>
        <v/>
      </c>
    </row>
    <row r="15">
      <c r="A15" s="10">
        <f>IF(Справочники!A16="","",Справочники!A16)</f>
        <v/>
      </c>
      <c r="B15" s="11">
        <f>IF(A15="","",Справочники!C16)</f>
        <v/>
      </c>
      <c r="C15" s="11">
        <f>IF(A15="","",SUMIF(Выплаты!$B:$B,A15,Выплаты!$D:$D))</f>
        <v/>
      </c>
      <c r="D15" s="11">
        <f>IF(A15="","",SUMIF(Выплаты!$B:$B,A15,Выплаты!$C:$C)+SUMIF(Выплаты!$B:$B,A15,Выплаты!$E:$E))</f>
        <v/>
      </c>
      <c r="E15" s="11">
        <f>IF(A15="","",B15+C15-D15)</f>
        <v/>
      </c>
    </row>
    <row r="16">
      <c r="A16" s="10">
        <f>IF(Справочники!A17="","",Справочники!A17)</f>
        <v/>
      </c>
      <c r="B16" s="11">
        <f>IF(A16="","",Справочники!C17)</f>
        <v/>
      </c>
      <c r="C16" s="11">
        <f>IF(A16="","",SUMIF(Выплаты!$B:$B,A16,Выплаты!$D:$D))</f>
        <v/>
      </c>
      <c r="D16" s="11">
        <f>IF(A16="","",SUMIF(Выплаты!$B:$B,A16,Выплаты!$C:$C)+SUMIF(Выплаты!$B:$B,A16,Выплаты!$E:$E))</f>
        <v/>
      </c>
      <c r="E16" s="11">
        <f>IF(A16="","",B16+C16-D16)</f>
        <v/>
      </c>
    </row>
    <row r="17">
      <c r="A17" s="10">
        <f>IF(Справочники!A18="","",Справочники!A18)</f>
        <v/>
      </c>
      <c r="B17" s="11">
        <f>IF(A17="","",Справочники!C18)</f>
        <v/>
      </c>
      <c r="C17" s="11">
        <f>IF(A17="","",SUMIF(Выплаты!$B:$B,A17,Выплаты!$D:$D))</f>
        <v/>
      </c>
      <c r="D17" s="11">
        <f>IF(A17="","",SUMIF(Выплаты!$B:$B,A17,Выплаты!$C:$C)+SUMIF(Выплаты!$B:$B,A17,Выплаты!$E:$E))</f>
        <v/>
      </c>
      <c r="E17" s="11">
        <f>IF(A17="","",B17+C17-D17)</f>
        <v/>
      </c>
    </row>
    <row r="18">
      <c r="A18" s="10">
        <f>IF(Справочники!A19="","",Справочники!A19)</f>
        <v/>
      </c>
      <c r="B18" s="11">
        <f>IF(A18="","",Справочники!C19)</f>
        <v/>
      </c>
      <c r="C18" s="11">
        <f>IF(A18="","",SUMIF(Выплаты!$B:$B,A18,Выплаты!$D:$D))</f>
        <v/>
      </c>
      <c r="D18" s="11">
        <f>IF(A18="","",SUMIF(Выплаты!$B:$B,A18,Выплаты!$C:$C)+SUMIF(Выплаты!$B:$B,A18,Выплаты!$E:$E))</f>
        <v/>
      </c>
      <c r="E18" s="11">
        <f>IF(A18="","",B18+C18-D18)</f>
        <v/>
      </c>
    </row>
    <row r="19">
      <c r="A19" s="10">
        <f>IF(Справочники!A20="","",Справочники!A20)</f>
        <v/>
      </c>
      <c r="B19" s="11">
        <f>IF(A19="","",Справочники!C20)</f>
        <v/>
      </c>
      <c r="C19" s="11">
        <f>IF(A19="","",SUMIF(Выплаты!$B:$B,A19,Выплаты!$D:$D))</f>
        <v/>
      </c>
      <c r="D19" s="11">
        <f>IF(A19="","",SUMIF(Выплаты!$B:$B,A19,Выплаты!$C:$C)+SUMIF(Выплаты!$B:$B,A19,Выплаты!$E:$E))</f>
        <v/>
      </c>
      <c r="E19" s="11">
        <f>IF(A19="","",B19+C19-D19)</f>
        <v/>
      </c>
    </row>
    <row r="20">
      <c r="A20" s="10">
        <f>IF(Справочники!A21="","",Справочники!A21)</f>
        <v/>
      </c>
      <c r="B20" s="11">
        <f>IF(A20="","",Справочники!C21)</f>
        <v/>
      </c>
      <c r="C20" s="11">
        <f>IF(A20="","",SUMIF(Выплаты!$B:$B,A20,Выплаты!$D:$D))</f>
        <v/>
      </c>
      <c r="D20" s="11">
        <f>IF(A20="","",SUMIF(Выплаты!$B:$B,A20,Выплаты!$C:$C)+SUMIF(Выплаты!$B:$B,A20,Выплаты!$E:$E))</f>
        <v/>
      </c>
      <c r="E20" s="11">
        <f>IF(A20="","",B20+C20-D20)</f>
        <v/>
      </c>
    </row>
    <row r="21">
      <c r="A21" s="10">
        <f>IF(Справочники!A22="","",Справочники!A22)</f>
        <v/>
      </c>
      <c r="B21" s="11">
        <f>IF(A21="","",Справочники!C22)</f>
        <v/>
      </c>
      <c r="C21" s="11">
        <f>IF(A21="","",SUMIF(Выплаты!$B:$B,A21,Выплаты!$D:$D))</f>
        <v/>
      </c>
      <c r="D21" s="11">
        <f>IF(A21="","",SUMIF(Выплаты!$B:$B,A21,Выплаты!$C:$C)+SUMIF(Выплаты!$B:$B,A21,Выплаты!$E:$E))</f>
        <v/>
      </c>
      <c r="E21" s="11">
        <f>IF(A21="","",B21+C21-D21)</f>
        <v/>
      </c>
    </row>
    <row r="22">
      <c r="A22" s="10">
        <f>IF(Справочники!A23="","",Справочники!A23)</f>
        <v/>
      </c>
      <c r="B22" s="11">
        <f>IF(A22="","",Справочники!C23)</f>
        <v/>
      </c>
      <c r="C22" s="11">
        <f>IF(A22="","",SUMIF(Выплаты!$B:$B,A22,Выплаты!$D:$D))</f>
        <v/>
      </c>
      <c r="D22" s="11">
        <f>IF(A22="","",SUMIF(Выплаты!$B:$B,A22,Выплаты!$C:$C)+SUMIF(Выплаты!$B:$B,A22,Выплаты!$E:$E))</f>
        <v/>
      </c>
      <c r="E22" s="11">
        <f>IF(A22="","",B22+C22-D22)</f>
        <v/>
      </c>
    </row>
    <row r="23">
      <c r="A23" s="10">
        <f>IF(Справочники!A24="","",Справочники!A24)</f>
        <v/>
      </c>
      <c r="B23" s="11">
        <f>IF(A23="","",Справочники!C24)</f>
        <v/>
      </c>
      <c r="C23" s="11">
        <f>IF(A23="","",SUMIF(Выплаты!$B:$B,A23,Выплаты!$D:$D))</f>
        <v/>
      </c>
      <c r="D23" s="11">
        <f>IF(A23="","",SUMIF(Выплаты!$B:$B,A23,Выплаты!$C:$C)+SUMIF(Выплаты!$B:$B,A23,Выплаты!$E:$E))</f>
        <v/>
      </c>
      <c r="E23" s="11">
        <f>IF(A23="","",B23+C23-D23)</f>
        <v/>
      </c>
    </row>
    <row r="24">
      <c r="A24" s="10">
        <f>IF(Справочники!A25="","",Справочники!A25)</f>
        <v/>
      </c>
      <c r="B24" s="11">
        <f>IF(A24="","",Справочники!C25)</f>
        <v/>
      </c>
      <c r="C24" s="11">
        <f>IF(A24="","",SUMIF(Выплаты!$B:$B,A24,Выплаты!$D:$D))</f>
        <v/>
      </c>
      <c r="D24" s="11">
        <f>IF(A24="","",SUMIF(Выплаты!$B:$B,A24,Выплаты!$C:$C)+SUMIF(Выплаты!$B:$B,A24,Выплаты!$E:$E))</f>
        <v/>
      </c>
      <c r="E24" s="11">
        <f>IF(A24="","",B24+C24-D24)</f>
        <v/>
      </c>
    </row>
    <row r="25">
      <c r="A25" s="10">
        <f>IF(Справочники!A26="","",Справочники!A26)</f>
        <v/>
      </c>
      <c r="B25" s="11">
        <f>IF(A25="","",Справочники!C26)</f>
        <v/>
      </c>
      <c r="C25" s="11">
        <f>IF(A25="","",SUMIF(Выплаты!$B:$B,A25,Выплаты!$D:$D))</f>
        <v/>
      </c>
      <c r="D25" s="11">
        <f>IF(A25="","",SUMIF(Выплаты!$B:$B,A25,Выплаты!$C:$C)+SUMIF(Выплаты!$B:$B,A25,Выплаты!$E:$E))</f>
        <v/>
      </c>
      <c r="E25" s="11">
        <f>IF(A25="","",B25+C25-D25)</f>
        <v/>
      </c>
    </row>
    <row r="26">
      <c r="A26" s="10">
        <f>IF(Справочники!A27="","",Справочники!A27)</f>
        <v/>
      </c>
      <c r="B26" s="11">
        <f>IF(A26="","",Справочники!C27)</f>
        <v/>
      </c>
      <c r="C26" s="11">
        <f>IF(A26="","",SUMIF(Выплаты!$B:$B,A26,Выплаты!$D:$D))</f>
        <v/>
      </c>
      <c r="D26" s="11">
        <f>IF(A26="","",SUMIF(Выплаты!$B:$B,A26,Выплаты!$C:$C)+SUMIF(Выплаты!$B:$B,A26,Выплаты!$E:$E))</f>
        <v/>
      </c>
      <c r="E26" s="11">
        <f>IF(A26="","",B26+C26-D26)</f>
        <v/>
      </c>
    </row>
    <row r="27">
      <c r="A27" s="10">
        <f>IF(Справочники!A28="","",Справочники!A28)</f>
        <v/>
      </c>
      <c r="B27" s="11">
        <f>IF(A27="","",Справочники!C28)</f>
        <v/>
      </c>
      <c r="C27" s="11">
        <f>IF(A27="","",SUMIF(Выплаты!$B:$B,A27,Выплаты!$D:$D))</f>
        <v/>
      </c>
      <c r="D27" s="11">
        <f>IF(A27="","",SUMIF(Выплаты!$B:$B,A27,Выплаты!$C:$C)+SUMIF(Выплаты!$B:$B,A27,Выплаты!$E:$E))</f>
        <v/>
      </c>
      <c r="E27" s="11">
        <f>IF(A27="","",B27+C27-D27)</f>
        <v/>
      </c>
    </row>
    <row r="28">
      <c r="A28" s="10">
        <f>IF(Справочники!A29="","",Справочники!A29)</f>
        <v/>
      </c>
      <c r="B28" s="11">
        <f>IF(A28="","",Справочники!C29)</f>
        <v/>
      </c>
      <c r="C28" s="11">
        <f>IF(A28="","",SUMIF(Выплаты!$B:$B,A28,Выплаты!$D:$D))</f>
        <v/>
      </c>
      <c r="D28" s="11">
        <f>IF(A28="","",SUMIF(Выплаты!$B:$B,A28,Выплаты!$C:$C)+SUMIF(Выплаты!$B:$B,A28,Выплаты!$E:$E))</f>
        <v/>
      </c>
      <c r="E28" s="11">
        <f>IF(A28="","",B28+C28-D28)</f>
        <v/>
      </c>
    </row>
    <row r="29">
      <c r="A29" s="10">
        <f>IF(Справочники!A30="","",Справочники!A30)</f>
        <v/>
      </c>
      <c r="B29" s="11">
        <f>IF(A29="","",Справочники!C30)</f>
        <v/>
      </c>
      <c r="C29" s="11">
        <f>IF(A29="","",SUMIF(Выплаты!$B:$B,A29,Выплаты!$D:$D))</f>
        <v/>
      </c>
      <c r="D29" s="11">
        <f>IF(A29="","",SUMIF(Выплаты!$B:$B,A29,Выплаты!$C:$C)+SUMIF(Выплаты!$B:$B,A29,Выплаты!$E:$E))</f>
        <v/>
      </c>
      <c r="E29" s="11">
        <f>IF(A29="","",B29+C29-D29)</f>
        <v/>
      </c>
    </row>
    <row r="30">
      <c r="A30" s="10">
        <f>IF(Справочники!A31="","",Справочники!A31)</f>
        <v/>
      </c>
      <c r="B30" s="11">
        <f>IF(A30="","",Справочники!C31)</f>
        <v/>
      </c>
      <c r="C30" s="11">
        <f>IF(A30="","",SUMIF(Выплаты!$B:$B,A30,Выплаты!$D:$D))</f>
        <v/>
      </c>
      <c r="D30" s="11">
        <f>IF(A30="","",SUMIF(Выплаты!$B:$B,A30,Выплаты!$C:$C)+SUMIF(Выплаты!$B:$B,A30,Выплаты!$E:$E))</f>
        <v/>
      </c>
      <c r="E30" s="11">
        <f>IF(A30="","",B30+C30-D30)</f>
        <v/>
      </c>
    </row>
    <row r="31">
      <c r="A31" s="10">
        <f>IF(Справочники!A32="","",Справочники!A32)</f>
        <v/>
      </c>
      <c r="B31" s="11">
        <f>IF(A31="","",Справочники!C32)</f>
        <v/>
      </c>
      <c r="C31" s="11">
        <f>IF(A31="","",SUMIF(Выплаты!$B:$B,A31,Выплаты!$D:$D))</f>
        <v/>
      </c>
      <c r="D31" s="11">
        <f>IF(A31="","",SUMIF(Выплаты!$B:$B,A31,Выплаты!$C:$C)+SUMIF(Выплаты!$B:$B,A31,Выплаты!$E:$E))</f>
        <v/>
      </c>
      <c r="E31" s="11">
        <f>IF(A31="","",B31+C31-D31)</f>
        <v/>
      </c>
    </row>
    <row r="32">
      <c r="A32" s="10">
        <f>IF(Справочники!A33="","",Справочники!A33)</f>
        <v/>
      </c>
      <c r="B32" s="11">
        <f>IF(A32="","",Справочники!C33)</f>
        <v/>
      </c>
      <c r="C32" s="11">
        <f>IF(A32="","",SUMIF(Выплаты!$B:$B,A32,Выплаты!$D:$D))</f>
        <v/>
      </c>
      <c r="D32" s="11">
        <f>IF(A32="","",SUMIF(Выплаты!$B:$B,A32,Выплаты!$C:$C)+SUMIF(Выплаты!$B:$B,A32,Выплаты!$E:$E))</f>
        <v/>
      </c>
      <c r="E32" s="11">
        <f>IF(A32="","",B32+C32-D32)</f>
        <v/>
      </c>
    </row>
    <row r="33">
      <c r="A33" s="10">
        <f>IF(Справочники!A34="","",Справочники!A34)</f>
        <v/>
      </c>
      <c r="B33" s="11">
        <f>IF(A33="","",Справочники!C34)</f>
        <v/>
      </c>
      <c r="C33" s="11">
        <f>IF(A33="","",SUMIF(Выплаты!$B:$B,A33,Выплаты!$D:$D))</f>
        <v/>
      </c>
      <c r="D33" s="11">
        <f>IF(A33="","",SUMIF(Выплаты!$B:$B,A33,Выплаты!$C:$C)+SUMIF(Выплаты!$B:$B,A33,Выплаты!$E:$E))</f>
        <v/>
      </c>
      <c r="E33" s="11">
        <f>IF(A33="","",B33+C33-D33)</f>
        <v/>
      </c>
    </row>
    <row r="34">
      <c r="A34" s="10">
        <f>IF(Справочники!A35="","",Справочники!A35)</f>
        <v/>
      </c>
      <c r="B34" s="11">
        <f>IF(A34="","",Справочники!C35)</f>
        <v/>
      </c>
      <c r="C34" s="11">
        <f>IF(A34="","",SUMIF(Выплаты!$B:$B,A34,Выплаты!$D:$D))</f>
        <v/>
      </c>
      <c r="D34" s="11">
        <f>IF(A34="","",SUMIF(Выплаты!$B:$B,A34,Выплаты!$C:$C)+SUMIF(Выплаты!$B:$B,A34,Выплаты!$E:$E))</f>
        <v/>
      </c>
      <c r="E34" s="11">
        <f>IF(A34="","",B34+C34-D34)</f>
        <v/>
      </c>
    </row>
    <row r="35">
      <c r="A35" s="10">
        <f>IF(Справочники!A36="","",Справочники!A36)</f>
        <v/>
      </c>
      <c r="B35" s="11">
        <f>IF(A35="","",Справочники!C36)</f>
        <v/>
      </c>
      <c r="C35" s="11">
        <f>IF(A35="","",SUMIF(Выплаты!$B:$B,A35,Выплаты!$D:$D))</f>
        <v/>
      </c>
      <c r="D35" s="11">
        <f>IF(A35="","",SUMIF(Выплаты!$B:$B,A35,Выплаты!$C:$C)+SUMIF(Выплаты!$B:$B,A35,Выплаты!$E:$E))</f>
        <v/>
      </c>
      <c r="E35" s="11">
        <f>IF(A35="","",B35+C35-D35)</f>
        <v/>
      </c>
    </row>
    <row r="36">
      <c r="A36" s="10">
        <f>IF(Справочники!A37="","",Справочники!A37)</f>
        <v/>
      </c>
      <c r="B36" s="11">
        <f>IF(A36="","",Справочники!C37)</f>
        <v/>
      </c>
      <c r="C36" s="11">
        <f>IF(A36="","",SUMIF(Выплаты!$B:$B,A36,Выплаты!$D:$D))</f>
        <v/>
      </c>
      <c r="D36" s="11">
        <f>IF(A36="","",SUMIF(Выплаты!$B:$B,A36,Выплаты!$C:$C)+SUMIF(Выплаты!$B:$B,A36,Выплаты!$E:$E))</f>
        <v/>
      </c>
      <c r="E36" s="11">
        <f>IF(A36="","",B36+C36-D36)</f>
        <v/>
      </c>
    </row>
    <row r="37">
      <c r="A37" s="10">
        <f>IF(Справочники!A38="","",Справочники!A38)</f>
        <v/>
      </c>
      <c r="B37" s="11">
        <f>IF(A37="","",Справочники!C38)</f>
        <v/>
      </c>
      <c r="C37" s="11">
        <f>IF(A37="","",SUMIF(Выплаты!$B:$B,A37,Выплаты!$D:$D))</f>
        <v/>
      </c>
      <c r="D37" s="11">
        <f>IF(A37="","",SUMIF(Выплаты!$B:$B,A37,Выплаты!$C:$C)+SUMIF(Выплаты!$B:$B,A37,Выплаты!$E:$E))</f>
        <v/>
      </c>
      <c r="E37" s="11">
        <f>IF(A37="","",B37+C37-D37)</f>
        <v/>
      </c>
    </row>
    <row r="38">
      <c r="A38" s="10">
        <f>IF(Справочники!A39="","",Справочники!A39)</f>
        <v/>
      </c>
      <c r="B38" s="11">
        <f>IF(A38="","",Справочники!C39)</f>
        <v/>
      </c>
      <c r="C38" s="11">
        <f>IF(A38="","",SUMIF(Выплаты!$B:$B,A38,Выплаты!$D:$D))</f>
        <v/>
      </c>
      <c r="D38" s="11">
        <f>IF(A38="","",SUMIF(Выплаты!$B:$B,A38,Выплаты!$C:$C)+SUMIF(Выплаты!$B:$B,A38,Выплаты!$E:$E))</f>
        <v/>
      </c>
      <c r="E38" s="11">
        <f>IF(A38="","",B38+C38-D38)</f>
        <v/>
      </c>
    </row>
    <row r="39">
      <c r="A39" s="10">
        <f>IF(Справочники!A40="","",Справочники!A40)</f>
        <v/>
      </c>
      <c r="B39" s="11">
        <f>IF(A39="","",Справочники!C40)</f>
        <v/>
      </c>
      <c r="C39" s="11">
        <f>IF(A39="","",SUMIF(Выплаты!$B:$B,A39,Выплаты!$D:$D))</f>
        <v/>
      </c>
      <c r="D39" s="11">
        <f>IF(A39="","",SUMIF(Выплаты!$B:$B,A39,Выплаты!$C:$C)+SUMIF(Выплаты!$B:$B,A39,Выплаты!$E:$E))</f>
        <v/>
      </c>
      <c r="E39" s="11">
        <f>IF(A39="","",B39+C39-D39)</f>
        <v/>
      </c>
    </row>
    <row r="40">
      <c r="A40" s="10">
        <f>IF(Справочники!A41="","",Справочники!A41)</f>
        <v/>
      </c>
      <c r="B40" s="11">
        <f>IF(A40="","",Справочники!C41)</f>
        <v/>
      </c>
      <c r="C40" s="11">
        <f>IF(A40="","",SUMIF(Выплаты!$B:$B,A40,Выплаты!$D:$D))</f>
        <v/>
      </c>
      <c r="D40" s="11">
        <f>IF(A40="","",SUMIF(Выплаты!$B:$B,A40,Выплаты!$C:$C)+SUMIF(Выплаты!$B:$B,A40,Выплаты!$E:$E))</f>
        <v/>
      </c>
      <c r="E40" s="11">
        <f>IF(A40="","",B40+C40-D40)</f>
        <v/>
      </c>
    </row>
    <row r="41">
      <c r="A41" s="10">
        <f>IF(Справочники!A42="","",Справочники!A42)</f>
        <v/>
      </c>
      <c r="B41" s="11">
        <f>IF(A41="","",Справочники!C42)</f>
        <v/>
      </c>
      <c r="C41" s="11">
        <f>IF(A41="","",SUMIF(Выплаты!$B:$B,A41,Выплаты!$D:$D))</f>
        <v/>
      </c>
      <c r="D41" s="11">
        <f>IF(A41="","",SUMIF(Выплаты!$B:$B,A41,Выплаты!$C:$C)+SUMIF(Выплаты!$B:$B,A41,Выплаты!$E:$E))</f>
        <v/>
      </c>
      <c r="E41" s="11">
        <f>IF(A41="","",B41+C41-D41)</f>
        <v/>
      </c>
    </row>
    <row r="42">
      <c r="A42" s="10">
        <f>IF(Справочники!A43="","",Справочники!A43)</f>
        <v/>
      </c>
      <c r="B42" s="11">
        <f>IF(A42="","",Справочники!C43)</f>
        <v/>
      </c>
      <c r="C42" s="11">
        <f>IF(A42="","",SUMIF(Выплаты!$B:$B,A42,Выплаты!$D:$D))</f>
        <v/>
      </c>
      <c r="D42" s="11">
        <f>IF(A42="","",SUMIF(Выплаты!$B:$B,A42,Выплаты!$C:$C)+SUMIF(Выплаты!$B:$B,A42,Выплаты!$E:$E))</f>
        <v/>
      </c>
      <c r="E42" s="11">
        <f>IF(A42="","",B42+C42-D42)</f>
        <v/>
      </c>
    </row>
    <row r="43">
      <c r="A43" s="10">
        <f>IF(Справочники!A44="","",Справочники!A44)</f>
        <v/>
      </c>
      <c r="B43" s="11">
        <f>IF(A43="","",Справочники!C44)</f>
        <v/>
      </c>
      <c r="C43" s="11">
        <f>IF(A43="","",SUMIF(Выплаты!$B:$B,A43,Выплаты!$D:$D))</f>
        <v/>
      </c>
      <c r="D43" s="11">
        <f>IF(A43="","",SUMIF(Выплаты!$B:$B,A43,Выплаты!$C:$C)+SUMIF(Выплаты!$B:$B,A43,Выплаты!$E:$E))</f>
        <v/>
      </c>
      <c r="E43" s="11">
        <f>IF(A43="","",B43+C43-D43)</f>
        <v/>
      </c>
    </row>
    <row r="44">
      <c r="A44" s="10">
        <f>IF(Справочники!A45="","",Справочники!A45)</f>
        <v/>
      </c>
      <c r="B44" s="11">
        <f>IF(A44="","",Справочники!C45)</f>
        <v/>
      </c>
      <c r="C44" s="11">
        <f>IF(A44="","",SUMIF(Выплаты!$B:$B,A44,Выплаты!$D:$D))</f>
        <v/>
      </c>
      <c r="D44" s="11">
        <f>IF(A44="","",SUMIF(Выплаты!$B:$B,A44,Выплаты!$C:$C)+SUMIF(Выплаты!$B:$B,A44,Выплаты!$E:$E))</f>
        <v/>
      </c>
      <c r="E44" s="11">
        <f>IF(A44="","",B44+C44-D44)</f>
        <v/>
      </c>
    </row>
    <row r="45">
      <c r="A45" s="10">
        <f>IF(Справочники!A46="","",Справочники!A46)</f>
        <v/>
      </c>
      <c r="B45" s="11">
        <f>IF(A45="","",Справочники!C46)</f>
        <v/>
      </c>
      <c r="C45" s="11">
        <f>IF(A45="","",SUMIF(Выплаты!$B:$B,A45,Выплаты!$D:$D))</f>
        <v/>
      </c>
      <c r="D45" s="11">
        <f>IF(A45="","",SUMIF(Выплаты!$B:$B,A45,Выплаты!$C:$C)+SUMIF(Выплаты!$B:$B,A45,Выплаты!$E:$E))</f>
        <v/>
      </c>
      <c r="E45" s="11">
        <f>IF(A45="","",B45+C45-D45)</f>
        <v/>
      </c>
    </row>
    <row r="46">
      <c r="A46" s="10">
        <f>IF(Справочники!A47="","",Справочники!A47)</f>
        <v/>
      </c>
      <c r="B46" s="11">
        <f>IF(A46="","",Справочники!C47)</f>
        <v/>
      </c>
      <c r="C46" s="11">
        <f>IF(A46="","",SUMIF(Выплаты!$B:$B,A46,Выплаты!$D:$D))</f>
        <v/>
      </c>
      <c r="D46" s="11">
        <f>IF(A46="","",SUMIF(Выплаты!$B:$B,A46,Выплаты!$C:$C)+SUMIF(Выплаты!$B:$B,A46,Выплаты!$E:$E))</f>
        <v/>
      </c>
      <c r="E46" s="11">
        <f>IF(A46="","",B46+C46-D46)</f>
        <v/>
      </c>
    </row>
    <row r="47">
      <c r="A47" s="10">
        <f>IF(Справочники!A48="","",Справочники!A48)</f>
        <v/>
      </c>
      <c r="B47" s="11">
        <f>IF(A47="","",Справочники!C48)</f>
        <v/>
      </c>
      <c r="C47" s="11">
        <f>IF(A47="","",SUMIF(Выплаты!$B:$B,A47,Выплаты!$D:$D))</f>
        <v/>
      </c>
      <c r="D47" s="11">
        <f>IF(A47="","",SUMIF(Выплаты!$B:$B,A47,Выплаты!$C:$C)+SUMIF(Выплаты!$B:$B,A47,Выплаты!$E:$E))</f>
        <v/>
      </c>
      <c r="E47" s="11">
        <f>IF(A47="","",B47+C47-D47)</f>
        <v/>
      </c>
    </row>
    <row r="48">
      <c r="A48" s="10">
        <f>IF(Справочники!A49="","",Справочники!A49)</f>
        <v/>
      </c>
      <c r="B48" s="11">
        <f>IF(A48="","",Справочники!C49)</f>
        <v/>
      </c>
      <c r="C48" s="11">
        <f>IF(A48="","",SUMIF(Выплаты!$B:$B,A48,Выплаты!$D:$D))</f>
        <v/>
      </c>
      <c r="D48" s="11">
        <f>IF(A48="","",SUMIF(Выплаты!$B:$B,A48,Выплаты!$C:$C)+SUMIF(Выплаты!$B:$B,A48,Выплаты!$E:$E))</f>
        <v/>
      </c>
      <c r="E48" s="11">
        <f>IF(A48="","",B48+C48-D48)</f>
        <v/>
      </c>
    </row>
    <row r="49">
      <c r="A49" s="10">
        <f>IF(Справочники!A50="","",Справочники!A50)</f>
        <v/>
      </c>
      <c r="B49" s="11">
        <f>IF(A49="","",Справочники!C50)</f>
        <v/>
      </c>
      <c r="C49" s="11">
        <f>IF(A49="","",SUMIF(Выплаты!$B:$B,A49,Выплаты!$D:$D))</f>
        <v/>
      </c>
      <c r="D49" s="11">
        <f>IF(A49="","",SUMIF(Выплаты!$B:$B,A49,Выплаты!$C:$C)+SUMIF(Выплаты!$B:$B,A49,Выплаты!$E:$E))</f>
        <v/>
      </c>
      <c r="E49" s="11">
        <f>IF(A49="","",B49+C49-D49)</f>
        <v/>
      </c>
    </row>
    <row r="50">
      <c r="A50" s="10">
        <f>IF(Справочники!A51="","",Справочники!A51)</f>
        <v/>
      </c>
      <c r="B50" s="11">
        <f>IF(A50="","",Справочники!C51)</f>
        <v/>
      </c>
      <c r="C50" s="11">
        <f>IF(A50="","",SUMIF(Выплаты!$B:$B,A50,Выплаты!$D:$D))</f>
        <v/>
      </c>
      <c r="D50" s="11">
        <f>IF(A50="","",SUMIF(Выплаты!$B:$B,A50,Выплаты!$C:$C)+SUMIF(Выплаты!$B:$B,A50,Выплаты!$E:$E))</f>
        <v/>
      </c>
      <c r="E50" s="11">
        <f>IF(A50="","",B50+C50-D50)</f>
        <v/>
      </c>
    </row>
    <row r="51">
      <c r="A51" s="10">
        <f>IF(Справочники!A52="","",Справочники!A52)</f>
        <v/>
      </c>
      <c r="B51" s="11">
        <f>IF(A51="","",Справочники!C52)</f>
        <v/>
      </c>
      <c r="C51" s="11">
        <f>IF(A51="","",SUMIF(Выплаты!$B:$B,A51,Выплаты!$D:$D))</f>
        <v/>
      </c>
      <c r="D51" s="11">
        <f>IF(A51="","",SUMIF(Выплаты!$B:$B,A51,Выплаты!$C:$C)+SUMIF(Выплаты!$B:$B,A51,Выплаты!$E:$E))</f>
        <v/>
      </c>
      <c r="E51" s="11">
        <f>IF(A51="","",B51+C51-D51)</f>
        <v/>
      </c>
    </row>
    <row r="52">
      <c r="A52" s="10">
        <f>IF(Справочники!A53="","",Справочники!A53)</f>
        <v/>
      </c>
      <c r="B52" s="11">
        <f>IF(A52="","",Справочники!C53)</f>
        <v/>
      </c>
      <c r="C52" s="11">
        <f>IF(A52="","",SUMIF(Выплаты!$B:$B,A52,Выплаты!$D:$D))</f>
        <v/>
      </c>
      <c r="D52" s="11">
        <f>IF(A52="","",SUMIF(Выплаты!$B:$B,A52,Выплаты!$C:$C)+SUMIF(Выплаты!$B:$B,A52,Выплаты!$E:$E))</f>
        <v/>
      </c>
      <c r="E52" s="11">
        <f>IF(A52="","",B52+C52-D52)</f>
        <v/>
      </c>
    </row>
    <row r="53">
      <c r="A53" s="10">
        <f>IF(Справочники!A54="","",Справочники!A54)</f>
        <v/>
      </c>
      <c r="B53" s="11">
        <f>IF(A53="","",Справочники!C54)</f>
        <v/>
      </c>
      <c r="C53" s="11">
        <f>IF(A53="","",SUMIF(Выплаты!$B:$B,A53,Выплаты!$D:$D))</f>
        <v/>
      </c>
      <c r="D53" s="11">
        <f>IF(A53="","",SUMIF(Выплаты!$B:$B,A53,Выплаты!$C:$C)+SUMIF(Выплаты!$B:$B,A53,Выплаты!$E:$E))</f>
        <v/>
      </c>
      <c r="E53" s="11">
        <f>IF(A53="","",B53+C53-D53)</f>
        <v/>
      </c>
    </row>
    <row r="54">
      <c r="A54" s="14" t="inlineStr">
        <is>
          <t>ИТОГО долг</t>
        </is>
      </c>
      <c r="E54" s="15">
        <f>SUM(E4:E53)</f>
        <v/>
      </c>
    </row>
  </sheetData>
  <mergeCells count="2">
    <mergeCell ref="A2:F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</cols>
  <sheetData>
    <row r="1" ht="28" customHeight="1">
      <c r="A1" s="1" t="inlineStr">
        <is>
          <t>Заказы поставщикам</t>
        </is>
      </c>
    </row>
    <row r="2">
      <c r="A2" s="5" t="inlineStr">
        <is>
          <t>Создал заказ — статус «Ожидается». Пришёл товар — поставь «Получен» и впиши фактическую сумму.</t>
        </is>
      </c>
    </row>
    <row r="3" ht="30" customHeight="1">
      <c r="A3" s="6" t="inlineStr">
        <is>
          <t>Дата заказа</t>
        </is>
      </c>
      <c r="B3" s="6" t="inlineStr">
        <is>
          <t>Поставщик</t>
        </is>
      </c>
      <c r="C3" s="6" t="inlineStr">
        <is>
          <t>Отдел</t>
        </is>
      </c>
      <c r="D3" s="6" t="inlineStr">
        <is>
          <t>Сумма заказа</t>
        </is>
      </c>
      <c r="E3" s="6" t="inlineStr">
        <is>
          <t>Ожид. дата</t>
        </is>
      </c>
      <c r="F3" s="6" t="inlineStr">
        <is>
          <t>Статус</t>
        </is>
      </c>
      <c r="G3" s="6" t="inlineStr">
        <is>
          <t>Факт. сумма</t>
        </is>
      </c>
      <c r="H3" s="6" t="inlineStr">
        <is>
          <t>Дата прихода</t>
        </is>
      </c>
    </row>
    <row r="4">
      <c r="A4" s="10" t="n"/>
      <c r="B4" s="10" t="n"/>
      <c r="C4" s="10" t="n"/>
      <c r="D4" s="11" t="n"/>
      <c r="E4" s="10" t="n"/>
      <c r="F4" s="10" t="n"/>
      <c r="G4" s="11" t="n"/>
      <c r="H4" s="10" t="n"/>
    </row>
    <row r="5">
      <c r="A5" s="10" t="n"/>
      <c r="B5" s="10" t="n"/>
      <c r="C5" s="10" t="n"/>
      <c r="D5" s="11" t="n"/>
      <c r="E5" s="10" t="n"/>
      <c r="F5" s="10" t="n"/>
      <c r="G5" s="11" t="n"/>
      <c r="H5" s="10" t="n"/>
    </row>
    <row r="6">
      <c r="A6" s="10" t="n"/>
      <c r="B6" s="10" t="n"/>
      <c r="C6" s="10" t="n"/>
      <c r="D6" s="11" t="n"/>
      <c r="E6" s="10" t="n"/>
      <c r="F6" s="10" t="n"/>
      <c r="G6" s="11" t="n"/>
      <c r="H6" s="10" t="n"/>
    </row>
    <row r="7">
      <c r="A7" s="10" t="n"/>
      <c r="B7" s="10" t="n"/>
      <c r="C7" s="10" t="n"/>
      <c r="D7" s="11" t="n"/>
      <c r="E7" s="10" t="n"/>
      <c r="F7" s="10" t="n"/>
      <c r="G7" s="11" t="n"/>
      <c r="H7" s="10" t="n"/>
    </row>
    <row r="8">
      <c r="A8" s="10" t="n"/>
      <c r="B8" s="10" t="n"/>
      <c r="C8" s="10" t="n"/>
      <c r="D8" s="11" t="n"/>
      <c r="E8" s="10" t="n"/>
      <c r="F8" s="10" t="n"/>
      <c r="G8" s="11" t="n"/>
      <c r="H8" s="10" t="n"/>
    </row>
    <row r="9">
      <c r="A9" s="10" t="n"/>
      <c r="B9" s="10" t="n"/>
      <c r="C9" s="10" t="n"/>
      <c r="D9" s="11" t="n"/>
      <c r="E9" s="10" t="n"/>
      <c r="F9" s="10" t="n"/>
      <c r="G9" s="11" t="n"/>
      <c r="H9" s="10" t="n"/>
    </row>
    <row r="10">
      <c r="A10" s="10" t="n"/>
      <c r="B10" s="10" t="n"/>
      <c r="C10" s="10" t="n"/>
      <c r="D10" s="11" t="n"/>
      <c r="E10" s="10" t="n"/>
      <c r="F10" s="10" t="n"/>
      <c r="G10" s="11" t="n"/>
      <c r="H10" s="10" t="n"/>
    </row>
    <row r="11">
      <c r="A11" s="10" t="n"/>
      <c r="B11" s="10" t="n"/>
      <c r="C11" s="10" t="n"/>
      <c r="D11" s="11" t="n"/>
      <c r="E11" s="10" t="n"/>
      <c r="F11" s="10" t="n"/>
      <c r="G11" s="11" t="n"/>
      <c r="H11" s="10" t="n"/>
    </row>
    <row r="12">
      <c r="A12" s="10" t="n"/>
      <c r="B12" s="10" t="n"/>
      <c r="C12" s="10" t="n"/>
      <c r="D12" s="11" t="n"/>
      <c r="E12" s="10" t="n"/>
      <c r="F12" s="10" t="n"/>
      <c r="G12" s="11" t="n"/>
      <c r="H12" s="10" t="n"/>
    </row>
    <row r="13">
      <c r="A13" s="10" t="n"/>
      <c r="B13" s="10" t="n"/>
      <c r="C13" s="10" t="n"/>
      <c r="D13" s="11" t="n"/>
      <c r="E13" s="10" t="n"/>
      <c r="F13" s="10" t="n"/>
      <c r="G13" s="11" t="n"/>
      <c r="H13" s="10" t="n"/>
    </row>
    <row r="14">
      <c r="A14" s="10" t="n"/>
      <c r="B14" s="10" t="n"/>
      <c r="C14" s="10" t="n"/>
      <c r="D14" s="11" t="n"/>
      <c r="E14" s="10" t="n"/>
      <c r="F14" s="10" t="n"/>
      <c r="G14" s="11" t="n"/>
      <c r="H14" s="10" t="n"/>
    </row>
    <row r="15">
      <c r="A15" s="10" t="n"/>
      <c r="B15" s="10" t="n"/>
      <c r="C15" s="10" t="n"/>
      <c r="D15" s="11" t="n"/>
      <c r="E15" s="10" t="n"/>
      <c r="F15" s="10" t="n"/>
      <c r="G15" s="11" t="n"/>
      <c r="H15" s="10" t="n"/>
    </row>
    <row r="16">
      <c r="A16" s="10" t="n"/>
      <c r="B16" s="10" t="n"/>
      <c r="C16" s="10" t="n"/>
      <c r="D16" s="11" t="n"/>
      <c r="E16" s="10" t="n"/>
      <c r="F16" s="10" t="n"/>
      <c r="G16" s="11" t="n"/>
      <c r="H16" s="10" t="n"/>
    </row>
    <row r="17">
      <c r="A17" s="10" t="n"/>
      <c r="B17" s="10" t="n"/>
      <c r="C17" s="10" t="n"/>
      <c r="D17" s="11" t="n"/>
      <c r="E17" s="10" t="n"/>
      <c r="F17" s="10" t="n"/>
      <c r="G17" s="11" t="n"/>
      <c r="H17" s="10" t="n"/>
    </row>
    <row r="18">
      <c r="A18" s="10" t="n"/>
      <c r="B18" s="10" t="n"/>
      <c r="C18" s="10" t="n"/>
      <c r="D18" s="11" t="n"/>
      <c r="E18" s="10" t="n"/>
      <c r="F18" s="10" t="n"/>
      <c r="G18" s="11" t="n"/>
      <c r="H18" s="10" t="n"/>
    </row>
    <row r="19">
      <c r="A19" s="10" t="n"/>
      <c r="B19" s="10" t="n"/>
      <c r="C19" s="10" t="n"/>
      <c r="D19" s="11" t="n"/>
      <c r="E19" s="10" t="n"/>
      <c r="F19" s="10" t="n"/>
      <c r="G19" s="11" t="n"/>
      <c r="H19" s="10" t="n"/>
    </row>
    <row r="20">
      <c r="A20" s="10" t="n"/>
      <c r="B20" s="10" t="n"/>
      <c r="C20" s="10" t="n"/>
      <c r="D20" s="11" t="n"/>
      <c r="E20" s="10" t="n"/>
      <c r="F20" s="10" t="n"/>
      <c r="G20" s="11" t="n"/>
      <c r="H20" s="10" t="n"/>
    </row>
    <row r="21">
      <c r="A21" s="10" t="n"/>
      <c r="B21" s="10" t="n"/>
      <c r="C21" s="10" t="n"/>
      <c r="D21" s="11" t="n"/>
      <c r="E21" s="10" t="n"/>
      <c r="F21" s="10" t="n"/>
      <c r="G21" s="11" t="n"/>
      <c r="H21" s="10" t="n"/>
    </row>
    <row r="22">
      <c r="A22" s="10" t="n"/>
      <c r="B22" s="10" t="n"/>
      <c r="C22" s="10" t="n"/>
      <c r="D22" s="11" t="n"/>
      <c r="E22" s="10" t="n"/>
      <c r="F22" s="10" t="n"/>
      <c r="G22" s="11" t="n"/>
      <c r="H22" s="10" t="n"/>
    </row>
    <row r="23">
      <c r="A23" s="10" t="n"/>
      <c r="B23" s="10" t="n"/>
      <c r="C23" s="10" t="n"/>
      <c r="D23" s="11" t="n"/>
      <c r="E23" s="10" t="n"/>
      <c r="F23" s="10" t="n"/>
      <c r="G23" s="11" t="n"/>
      <c r="H23" s="10" t="n"/>
    </row>
    <row r="24">
      <c r="A24" s="10" t="n"/>
      <c r="B24" s="10" t="n"/>
      <c r="C24" s="10" t="n"/>
      <c r="D24" s="11" t="n"/>
      <c r="E24" s="10" t="n"/>
      <c r="F24" s="10" t="n"/>
      <c r="G24" s="11" t="n"/>
      <c r="H24" s="10" t="n"/>
    </row>
    <row r="25">
      <c r="A25" s="10" t="n"/>
      <c r="B25" s="10" t="n"/>
      <c r="C25" s="10" t="n"/>
      <c r="D25" s="11" t="n"/>
      <c r="E25" s="10" t="n"/>
      <c r="F25" s="10" t="n"/>
      <c r="G25" s="11" t="n"/>
      <c r="H25" s="10" t="n"/>
    </row>
    <row r="26">
      <c r="A26" s="10" t="n"/>
      <c r="B26" s="10" t="n"/>
      <c r="C26" s="10" t="n"/>
      <c r="D26" s="11" t="n"/>
      <c r="E26" s="10" t="n"/>
      <c r="F26" s="10" t="n"/>
      <c r="G26" s="11" t="n"/>
      <c r="H26" s="10" t="n"/>
    </row>
    <row r="27">
      <c r="A27" s="10" t="n"/>
      <c r="B27" s="10" t="n"/>
      <c r="C27" s="10" t="n"/>
      <c r="D27" s="11" t="n"/>
      <c r="E27" s="10" t="n"/>
      <c r="F27" s="10" t="n"/>
      <c r="G27" s="11" t="n"/>
      <c r="H27" s="10" t="n"/>
    </row>
    <row r="28">
      <c r="A28" s="10" t="n"/>
      <c r="B28" s="10" t="n"/>
      <c r="C28" s="10" t="n"/>
      <c r="D28" s="11" t="n"/>
      <c r="E28" s="10" t="n"/>
      <c r="F28" s="10" t="n"/>
      <c r="G28" s="11" t="n"/>
      <c r="H28" s="10" t="n"/>
    </row>
    <row r="29">
      <c r="A29" s="10" t="n"/>
      <c r="B29" s="10" t="n"/>
      <c r="C29" s="10" t="n"/>
      <c r="D29" s="11" t="n"/>
      <c r="E29" s="10" t="n"/>
      <c r="F29" s="10" t="n"/>
      <c r="G29" s="11" t="n"/>
      <c r="H29" s="10" t="n"/>
    </row>
    <row r="30">
      <c r="A30" s="10" t="n"/>
      <c r="B30" s="10" t="n"/>
      <c r="C30" s="10" t="n"/>
      <c r="D30" s="11" t="n"/>
      <c r="E30" s="10" t="n"/>
      <c r="F30" s="10" t="n"/>
      <c r="G30" s="11" t="n"/>
      <c r="H30" s="10" t="n"/>
    </row>
    <row r="31">
      <c r="A31" s="10" t="n"/>
      <c r="B31" s="10" t="n"/>
      <c r="C31" s="10" t="n"/>
      <c r="D31" s="11" t="n"/>
      <c r="E31" s="10" t="n"/>
      <c r="F31" s="10" t="n"/>
      <c r="G31" s="11" t="n"/>
      <c r="H31" s="10" t="n"/>
    </row>
    <row r="32">
      <c r="A32" s="10" t="n"/>
      <c r="B32" s="10" t="n"/>
      <c r="C32" s="10" t="n"/>
      <c r="D32" s="11" t="n"/>
      <c r="E32" s="10" t="n"/>
      <c r="F32" s="10" t="n"/>
      <c r="G32" s="11" t="n"/>
      <c r="H32" s="10" t="n"/>
    </row>
    <row r="33">
      <c r="A33" s="10" t="n"/>
      <c r="B33" s="10" t="n"/>
      <c r="C33" s="10" t="n"/>
      <c r="D33" s="11" t="n"/>
      <c r="E33" s="10" t="n"/>
      <c r="F33" s="10" t="n"/>
      <c r="G33" s="11" t="n"/>
      <c r="H33" s="10" t="n"/>
    </row>
    <row r="34">
      <c r="A34" s="10" t="n"/>
      <c r="B34" s="10" t="n"/>
      <c r="C34" s="10" t="n"/>
      <c r="D34" s="11" t="n"/>
      <c r="E34" s="10" t="n"/>
      <c r="F34" s="10" t="n"/>
      <c r="G34" s="11" t="n"/>
      <c r="H34" s="10" t="n"/>
    </row>
    <row r="35">
      <c r="A35" s="10" t="n"/>
      <c r="B35" s="10" t="n"/>
      <c r="C35" s="10" t="n"/>
      <c r="D35" s="11" t="n"/>
      <c r="E35" s="10" t="n"/>
      <c r="F35" s="10" t="n"/>
      <c r="G35" s="11" t="n"/>
      <c r="H35" s="10" t="n"/>
    </row>
    <row r="36">
      <c r="A36" s="10" t="n"/>
      <c r="B36" s="10" t="n"/>
      <c r="C36" s="10" t="n"/>
      <c r="D36" s="11" t="n"/>
      <c r="E36" s="10" t="n"/>
      <c r="F36" s="10" t="n"/>
      <c r="G36" s="11" t="n"/>
      <c r="H36" s="10" t="n"/>
    </row>
    <row r="37">
      <c r="A37" s="10" t="n"/>
      <c r="B37" s="10" t="n"/>
      <c r="C37" s="10" t="n"/>
      <c r="D37" s="11" t="n"/>
      <c r="E37" s="10" t="n"/>
      <c r="F37" s="10" t="n"/>
      <c r="G37" s="11" t="n"/>
      <c r="H37" s="10" t="n"/>
    </row>
    <row r="38">
      <c r="A38" s="10" t="n"/>
      <c r="B38" s="10" t="n"/>
      <c r="C38" s="10" t="n"/>
      <c r="D38" s="11" t="n"/>
      <c r="E38" s="10" t="n"/>
      <c r="F38" s="10" t="n"/>
      <c r="G38" s="11" t="n"/>
      <c r="H38" s="10" t="n"/>
    </row>
    <row r="39">
      <c r="A39" s="10" t="n"/>
      <c r="B39" s="10" t="n"/>
      <c r="C39" s="10" t="n"/>
      <c r="D39" s="11" t="n"/>
      <c r="E39" s="10" t="n"/>
      <c r="F39" s="10" t="n"/>
      <c r="G39" s="11" t="n"/>
      <c r="H39" s="10" t="n"/>
    </row>
    <row r="40">
      <c r="A40" s="10" t="n"/>
      <c r="B40" s="10" t="n"/>
      <c r="C40" s="10" t="n"/>
      <c r="D40" s="11" t="n"/>
      <c r="E40" s="10" t="n"/>
      <c r="F40" s="10" t="n"/>
      <c r="G40" s="11" t="n"/>
      <c r="H40" s="10" t="n"/>
    </row>
    <row r="41">
      <c r="A41" s="10" t="n"/>
      <c r="B41" s="10" t="n"/>
      <c r="C41" s="10" t="n"/>
      <c r="D41" s="11" t="n"/>
      <c r="E41" s="10" t="n"/>
      <c r="F41" s="10" t="n"/>
      <c r="G41" s="11" t="n"/>
      <c r="H41" s="10" t="n"/>
    </row>
    <row r="42">
      <c r="A42" s="10" t="n"/>
      <c r="B42" s="10" t="n"/>
      <c r="C42" s="10" t="n"/>
      <c r="D42" s="11" t="n"/>
      <c r="E42" s="10" t="n"/>
      <c r="F42" s="10" t="n"/>
      <c r="G42" s="11" t="n"/>
      <c r="H42" s="10" t="n"/>
    </row>
    <row r="43">
      <c r="A43" s="10" t="n"/>
      <c r="B43" s="10" t="n"/>
      <c r="C43" s="10" t="n"/>
      <c r="D43" s="11" t="n"/>
      <c r="E43" s="10" t="n"/>
      <c r="F43" s="10" t="n"/>
      <c r="G43" s="11" t="n"/>
      <c r="H43" s="10" t="n"/>
    </row>
    <row r="44">
      <c r="A44" s="10" t="n"/>
      <c r="B44" s="10" t="n"/>
      <c r="C44" s="10" t="n"/>
      <c r="D44" s="11" t="n"/>
      <c r="E44" s="10" t="n"/>
      <c r="F44" s="10" t="n"/>
      <c r="G44" s="11" t="n"/>
      <c r="H44" s="10" t="n"/>
    </row>
    <row r="45">
      <c r="A45" s="10" t="n"/>
      <c r="B45" s="10" t="n"/>
      <c r="C45" s="10" t="n"/>
      <c r="D45" s="11" t="n"/>
      <c r="E45" s="10" t="n"/>
      <c r="F45" s="10" t="n"/>
      <c r="G45" s="11" t="n"/>
      <c r="H45" s="10" t="n"/>
    </row>
    <row r="46">
      <c r="A46" s="10" t="n"/>
      <c r="B46" s="10" t="n"/>
      <c r="C46" s="10" t="n"/>
      <c r="D46" s="11" t="n"/>
      <c r="E46" s="10" t="n"/>
      <c r="F46" s="10" t="n"/>
      <c r="G46" s="11" t="n"/>
      <c r="H46" s="10" t="n"/>
    </row>
    <row r="47">
      <c r="A47" s="10" t="n"/>
      <c r="B47" s="10" t="n"/>
      <c r="C47" s="10" t="n"/>
      <c r="D47" s="11" t="n"/>
      <c r="E47" s="10" t="n"/>
      <c r="F47" s="10" t="n"/>
      <c r="G47" s="11" t="n"/>
      <c r="H47" s="10" t="n"/>
    </row>
    <row r="48">
      <c r="A48" s="10" t="n"/>
      <c r="B48" s="10" t="n"/>
      <c r="C48" s="10" t="n"/>
      <c r="D48" s="11" t="n"/>
      <c r="E48" s="10" t="n"/>
      <c r="F48" s="10" t="n"/>
      <c r="G48" s="11" t="n"/>
      <c r="H48" s="10" t="n"/>
    </row>
    <row r="49">
      <c r="A49" s="10" t="n"/>
      <c r="B49" s="10" t="n"/>
      <c r="C49" s="10" t="n"/>
      <c r="D49" s="11" t="n"/>
      <c r="E49" s="10" t="n"/>
      <c r="F49" s="10" t="n"/>
      <c r="G49" s="11" t="n"/>
      <c r="H49" s="10" t="n"/>
    </row>
    <row r="50">
      <c r="A50" s="10" t="n"/>
      <c r="B50" s="10" t="n"/>
      <c r="C50" s="10" t="n"/>
      <c r="D50" s="11" t="n"/>
      <c r="E50" s="10" t="n"/>
      <c r="F50" s="10" t="n"/>
      <c r="G50" s="11" t="n"/>
      <c r="H50" s="10" t="n"/>
    </row>
    <row r="51">
      <c r="A51" s="10" t="n"/>
      <c r="B51" s="10" t="n"/>
      <c r="C51" s="10" t="n"/>
      <c r="D51" s="11" t="n"/>
      <c r="E51" s="10" t="n"/>
      <c r="F51" s="10" t="n"/>
      <c r="G51" s="11" t="n"/>
      <c r="H51" s="10" t="n"/>
    </row>
    <row r="52">
      <c r="A52" s="10" t="n"/>
      <c r="B52" s="10" t="n"/>
      <c r="C52" s="10" t="n"/>
      <c r="D52" s="11" t="n"/>
      <c r="E52" s="10" t="n"/>
      <c r="F52" s="10" t="n"/>
      <c r="G52" s="11" t="n"/>
      <c r="H52" s="10" t="n"/>
    </row>
    <row r="53">
      <c r="A53" s="10" t="n"/>
      <c r="B53" s="10" t="n"/>
      <c r="C53" s="10" t="n"/>
      <c r="D53" s="11" t="n"/>
      <c r="E53" s="10" t="n"/>
      <c r="F53" s="10" t="n"/>
      <c r="G53" s="11" t="n"/>
      <c r="H53" s="10" t="n"/>
    </row>
    <row r="54">
      <c r="A54" s="10" t="n"/>
      <c r="B54" s="10" t="n"/>
      <c r="C54" s="10" t="n"/>
      <c r="D54" s="11" t="n"/>
      <c r="E54" s="10" t="n"/>
      <c r="F54" s="10" t="n"/>
      <c r="G54" s="11" t="n"/>
      <c r="H54" s="10" t="n"/>
    </row>
    <row r="55">
      <c r="A55" s="10" t="n"/>
      <c r="B55" s="10" t="n"/>
      <c r="C55" s="10" t="n"/>
      <c r="D55" s="11" t="n"/>
      <c r="E55" s="10" t="n"/>
      <c r="F55" s="10" t="n"/>
      <c r="G55" s="11" t="n"/>
      <c r="H55" s="10" t="n"/>
    </row>
    <row r="56">
      <c r="A56" s="10" t="n"/>
      <c r="B56" s="10" t="n"/>
      <c r="C56" s="10" t="n"/>
      <c r="D56" s="11" t="n"/>
      <c r="E56" s="10" t="n"/>
      <c r="F56" s="10" t="n"/>
      <c r="G56" s="11" t="n"/>
      <c r="H56" s="10" t="n"/>
    </row>
    <row r="57">
      <c r="A57" s="10" t="n"/>
      <c r="B57" s="10" t="n"/>
      <c r="C57" s="10" t="n"/>
      <c r="D57" s="11" t="n"/>
      <c r="E57" s="10" t="n"/>
      <c r="F57" s="10" t="n"/>
      <c r="G57" s="11" t="n"/>
      <c r="H57" s="10" t="n"/>
    </row>
    <row r="58">
      <c r="A58" s="10" t="n"/>
      <c r="B58" s="10" t="n"/>
      <c r="C58" s="10" t="n"/>
      <c r="D58" s="11" t="n"/>
      <c r="E58" s="10" t="n"/>
      <c r="F58" s="10" t="n"/>
      <c r="G58" s="11" t="n"/>
      <c r="H58" s="10" t="n"/>
    </row>
    <row r="59">
      <c r="A59" s="10" t="n"/>
      <c r="B59" s="10" t="n"/>
      <c r="C59" s="10" t="n"/>
      <c r="D59" s="11" t="n"/>
      <c r="E59" s="10" t="n"/>
      <c r="F59" s="10" t="n"/>
      <c r="G59" s="11" t="n"/>
      <c r="H59" s="10" t="n"/>
    </row>
    <row r="60">
      <c r="A60" s="10" t="n"/>
      <c r="B60" s="10" t="n"/>
      <c r="C60" s="10" t="n"/>
      <c r="D60" s="11" t="n"/>
      <c r="E60" s="10" t="n"/>
      <c r="F60" s="10" t="n"/>
      <c r="G60" s="11" t="n"/>
      <c r="H60" s="10" t="n"/>
    </row>
    <row r="61">
      <c r="A61" s="10" t="n"/>
      <c r="B61" s="10" t="n"/>
      <c r="C61" s="10" t="n"/>
      <c r="D61" s="11" t="n"/>
      <c r="E61" s="10" t="n"/>
      <c r="F61" s="10" t="n"/>
      <c r="G61" s="11" t="n"/>
      <c r="H61" s="10" t="n"/>
    </row>
    <row r="62">
      <c r="A62" s="10" t="n"/>
      <c r="B62" s="10" t="n"/>
      <c r="C62" s="10" t="n"/>
      <c r="D62" s="11" t="n"/>
      <c r="E62" s="10" t="n"/>
      <c r="F62" s="10" t="n"/>
      <c r="G62" s="11" t="n"/>
      <c r="H62" s="10" t="n"/>
    </row>
    <row r="63">
      <c r="A63" s="10" t="n"/>
      <c r="B63" s="10" t="n"/>
      <c r="C63" s="10" t="n"/>
      <c r="D63" s="11" t="n"/>
      <c r="E63" s="10" t="n"/>
      <c r="F63" s="10" t="n"/>
      <c r="G63" s="11" t="n"/>
      <c r="H63" s="10" t="n"/>
    </row>
    <row r="64">
      <c r="A64" s="10" t="n"/>
      <c r="B64" s="10" t="n"/>
      <c r="C64" s="10" t="n"/>
      <c r="D64" s="11" t="n"/>
      <c r="E64" s="10" t="n"/>
      <c r="F64" s="10" t="n"/>
      <c r="G64" s="11" t="n"/>
      <c r="H64" s="10" t="n"/>
    </row>
    <row r="65">
      <c r="A65" s="10" t="n"/>
      <c r="B65" s="10" t="n"/>
      <c r="C65" s="10" t="n"/>
      <c r="D65" s="11" t="n"/>
      <c r="E65" s="10" t="n"/>
      <c r="F65" s="10" t="n"/>
      <c r="G65" s="11" t="n"/>
      <c r="H65" s="10" t="n"/>
    </row>
    <row r="66">
      <c r="A66" s="10" t="n"/>
      <c r="B66" s="10" t="n"/>
      <c r="C66" s="10" t="n"/>
      <c r="D66" s="11" t="n"/>
      <c r="E66" s="10" t="n"/>
      <c r="F66" s="10" t="n"/>
      <c r="G66" s="11" t="n"/>
      <c r="H66" s="10" t="n"/>
    </row>
    <row r="67">
      <c r="A67" s="10" t="n"/>
      <c r="B67" s="10" t="n"/>
      <c r="C67" s="10" t="n"/>
      <c r="D67" s="11" t="n"/>
      <c r="E67" s="10" t="n"/>
      <c r="F67" s="10" t="n"/>
      <c r="G67" s="11" t="n"/>
      <c r="H67" s="10" t="n"/>
    </row>
    <row r="68">
      <c r="A68" s="10" t="n"/>
      <c r="B68" s="10" t="n"/>
      <c r="C68" s="10" t="n"/>
      <c r="D68" s="11" t="n"/>
      <c r="E68" s="10" t="n"/>
      <c r="F68" s="10" t="n"/>
      <c r="G68" s="11" t="n"/>
      <c r="H68" s="10" t="n"/>
    </row>
    <row r="69">
      <c r="A69" s="10" t="n"/>
      <c r="B69" s="10" t="n"/>
      <c r="C69" s="10" t="n"/>
      <c r="D69" s="11" t="n"/>
      <c r="E69" s="10" t="n"/>
      <c r="F69" s="10" t="n"/>
      <c r="G69" s="11" t="n"/>
      <c r="H69" s="10" t="n"/>
    </row>
    <row r="70">
      <c r="A70" s="10" t="n"/>
      <c r="B70" s="10" t="n"/>
      <c r="C70" s="10" t="n"/>
      <c r="D70" s="11" t="n"/>
      <c r="E70" s="10" t="n"/>
      <c r="F70" s="10" t="n"/>
      <c r="G70" s="11" t="n"/>
      <c r="H70" s="10" t="n"/>
    </row>
    <row r="71">
      <c r="A71" s="10" t="n"/>
      <c r="B71" s="10" t="n"/>
      <c r="C71" s="10" t="n"/>
      <c r="D71" s="11" t="n"/>
      <c r="E71" s="10" t="n"/>
      <c r="F71" s="10" t="n"/>
      <c r="G71" s="11" t="n"/>
      <c r="H71" s="10" t="n"/>
    </row>
    <row r="72">
      <c r="A72" s="10" t="n"/>
      <c r="B72" s="10" t="n"/>
      <c r="C72" s="10" t="n"/>
      <c r="D72" s="11" t="n"/>
      <c r="E72" s="10" t="n"/>
      <c r="F72" s="10" t="n"/>
      <c r="G72" s="11" t="n"/>
      <c r="H72" s="10" t="n"/>
    </row>
    <row r="73">
      <c r="A73" s="10" t="n"/>
      <c r="B73" s="10" t="n"/>
      <c r="C73" s="10" t="n"/>
      <c r="D73" s="11" t="n"/>
      <c r="E73" s="10" t="n"/>
      <c r="F73" s="10" t="n"/>
      <c r="G73" s="11" t="n"/>
      <c r="H73" s="10" t="n"/>
    </row>
    <row r="74">
      <c r="A74" s="10" t="n"/>
      <c r="B74" s="10" t="n"/>
      <c r="C74" s="10" t="n"/>
      <c r="D74" s="11" t="n"/>
      <c r="E74" s="10" t="n"/>
      <c r="F74" s="10" t="n"/>
      <c r="G74" s="11" t="n"/>
      <c r="H74" s="10" t="n"/>
    </row>
    <row r="75">
      <c r="A75" s="10" t="n"/>
      <c r="B75" s="10" t="n"/>
      <c r="C75" s="10" t="n"/>
      <c r="D75" s="11" t="n"/>
      <c r="E75" s="10" t="n"/>
      <c r="F75" s="10" t="n"/>
      <c r="G75" s="11" t="n"/>
      <c r="H75" s="10" t="n"/>
    </row>
    <row r="76">
      <c r="A76" s="10" t="n"/>
      <c r="B76" s="10" t="n"/>
      <c r="C76" s="10" t="n"/>
      <c r="D76" s="11" t="n"/>
      <c r="E76" s="10" t="n"/>
      <c r="F76" s="10" t="n"/>
      <c r="G76" s="11" t="n"/>
      <c r="H76" s="10" t="n"/>
    </row>
    <row r="77">
      <c r="A77" s="10" t="n"/>
      <c r="B77" s="10" t="n"/>
      <c r="C77" s="10" t="n"/>
      <c r="D77" s="11" t="n"/>
      <c r="E77" s="10" t="n"/>
      <c r="F77" s="10" t="n"/>
      <c r="G77" s="11" t="n"/>
      <c r="H77" s="10" t="n"/>
    </row>
    <row r="78">
      <c r="A78" s="10" t="n"/>
      <c r="B78" s="10" t="n"/>
      <c r="C78" s="10" t="n"/>
      <c r="D78" s="11" t="n"/>
      <c r="E78" s="10" t="n"/>
      <c r="F78" s="10" t="n"/>
      <c r="G78" s="11" t="n"/>
      <c r="H78" s="10" t="n"/>
    </row>
    <row r="79">
      <c r="A79" s="10" t="n"/>
      <c r="B79" s="10" t="n"/>
      <c r="C79" s="10" t="n"/>
      <c r="D79" s="11" t="n"/>
      <c r="E79" s="10" t="n"/>
      <c r="F79" s="10" t="n"/>
      <c r="G79" s="11" t="n"/>
      <c r="H79" s="10" t="n"/>
    </row>
    <row r="80">
      <c r="A80" s="10" t="n"/>
      <c r="B80" s="10" t="n"/>
      <c r="C80" s="10" t="n"/>
      <c r="D80" s="11" t="n"/>
      <c r="E80" s="10" t="n"/>
      <c r="F80" s="10" t="n"/>
      <c r="G80" s="11" t="n"/>
      <c r="H80" s="10" t="n"/>
    </row>
    <row r="81">
      <c r="A81" s="10" t="n"/>
      <c r="B81" s="10" t="n"/>
      <c r="C81" s="10" t="n"/>
      <c r="D81" s="11" t="n"/>
      <c r="E81" s="10" t="n"/>
      <c r="F81" s="10" t="n"/>
      <c r="G81" s="11" t="n"/>
      <c r="H81" s="10" t="n"/>
    </row>
    <row r="82">
      <c r="A82" s="10" t="n"/>
      <c r="B82" s="10" t="n"/>
      <c r="C82" s="10" t="n"/>
      <c r="D82" s="11" t="n"/>
      <c r="E82" s="10" t="n"/>
      <c r="F82" s="10" t="n"/>
      <c r="G82" s="11" t="n"/>
      <c r="H82" s="10" t="n"/>
    </row>
    <row r="83">
      <c r="A83" s="10" t="n"/>
      <c r="B83" s="10" t="n"/>
      <c r="C83" s="10" t="n"/>
      <c r="D83" s="11" t="n"/>
      <c r="E83" s="10" t="n"/>
      <c r="F83" s="10" t="n"/>
      <c r="G83" s="11" t="n"/>
      <c r="H83" s="10" t="n"/>
    </row>
    <row r="84">
      <c r="A84" s="10" t="n"/>
      <c r="B84" s="10" t="n"/>
      <c r="C84" s="10" t="n"/>
      <c r="D84" s="11" t="n"/>
      <c r="E84" s="10" t="n"/>
      <c r="F84" s="10" t="n"/>
      <c r="G84" s="11" t="n"/>
      <c r="H84" s="10" t="n"/>
    </row>
    <row r="85">
      <c r="A85" s="10" t="n"/>
      <c r="B85" s="10" t="n"/>
      <c r="C85" s="10" t="n"/>
      <c r="D85" s="11" t="n"/>
      <c r="E85" s="10" t="n"/>
      <c r="F85" s="10" t="n"/>
      <c r="G85" s="11" t="n"/>
      <c r="H85" s="10" t="n"/>
    </row>
    <row r="86">
      <c r="A86" s="10" t="n"/>
      <c r="B86" s="10" t="n"/>
      <c r="C86" s="10" t="n"/>
      <c r="D86" s="11" t="n"/>
      <c r="E86" s="10" t="n"/>
      <c r="F86" s="10" t="n"/>
      <c r="G86" s="11" t="n"/>
      <c r="H86" s="10" t="n"/>
    </row>
    <row r="87">
      <c r="A87" s="10" t="n"/>
      <c r="B87" s="10" t="n"/>
      <c r="C87" s="10" t="n"/>
      <c r="D87" s="11" t="n"/>
      <c r="E87" s="10" t="n"/>
      <c r="F87" s="10" t="n"/>
      <c r="G87" s="11" t="n"/>
      <c r="H87" s="10" t="n"/>
    </row>
    <row r="88">
      <c r="A88" s="10" t="n"/>
      <c r="B88" s="10" t="n"/>
      <c r="C88" s="10" t="n"/>
      <c r="D88" s="11" t="n"/>
      <c r="E88" s="10" t="n"/>
      <c r="F88" s="10" t="n"/>
      <c r="G88" s="11" t="n"/>
      <c r="H88" s="10" t="n"/>
    </row>
    <row r="89">
      <c r="A89" s="10" t="n"/>
      <c r="B89" s="10" t="n"/>
      <c r="C89" s="10" t="n"/>
      <c r="D89" s="11" t="n"/>
      <c r="E89" s="10" t="n"/>
      <c r="F89" s="10" t="n"/>
      <c r="G89" s="11" t="n"/>
      <c r="H89" s="10" t="n"/>
    </row>
    <row r="90">
      <c r="A90" s="10" t="n"/>
      <c r="B90" s="10" t="n"/>
      <c r="C90" s="10" t="n"/>
      <c r="D90" s="11" t="n"/>
      <c r="E90" s="10" t="n"/>
      <c r="F90" s="10" t="n"/>
      <c r="G90" s="11" t="n"/>
      <c r="H90" s="10" t="n"/>
    </row>
    <row r="91">
      <c r="A91" s="10" t="n"/>
      <c r="B91" s="10" t="n"/>
      <c r="C91" s="10" t="n"/>
      <c r="D91" s="11" t="n"/>
      <c r="E91" s="10" t="n"/>
      <c r="F91" s="10" t="n"/>
      <c r="G91" s="11" t="n"/>
      <c r="H91" s="10" t="n"/>
    </row>
    <row r="92">
      <c r="A92" s="10" t="n"/>
      <c r="B92" s="10" t="n"/>
      <c r="C92" s="10" t="n"/>
      <c r="D92" s="11" t="n"/>
      <c r="E92" s="10" t="n"/>
      <c r="F92" s="10" t="n"/>
      <c r="G92" s="11" t="n"/>
      <c r="H92" s="10" t="n"/>
    </row>
    <row r="93">
      <c r="A93" s="10" t="n"/>
      <c r="B93" s="10" t="n"/>
      <c r="C93" s="10" t="n"/>
      <c r="D93" s="11" t="n"/>
      <c r="E93" s="10" t="n"/>
      <c r="F93" s="10" t="n"/>
      <c r="G93" s="11" t="n"/>
      <c r="H93" s="10" t="n"/>
    </row>
    <row r="94">
      <c r="A94" s="10" t="n"/>
      <c r="B94" s="10" t="n"/>
      <c r="C94" s="10" t="n"/>
      <c r="D94" s="11" t="n"/>
      <c r="E94" s="10" t="n"/>
      <c r="F94" s="10" t="n"/>
      <c r="G94" s="11" t="n"/>
      <c r="H94" s="10" t="n"/>
    </row>
    <row r="95">
      <c r="A95" s="10" t="n"/>
      <c r="B95" s="10" t="n"/>
      <c r="C95" s="10" t="n"/>
      <c r="D95" s="11" t="n"/>
      <c r="E95" s="10" t="n"/>
      <c r="F95" s="10" t="n"/>
      <c r="G95" s="11" t="n"/>
      <c r="H95" s="10" t="n"/>
    </row>
    <row r="96">
      <c r="A96" s="10" t="n"/>
      <c r="B96" s="10" t="n"/>
      <c r="C96" s="10" t="n"/>
      <c r="D96" s="11" t="n"/>
      <c r="E96" s="10" t="n"/>
      <c r="F96" s="10" t="n"/>
      <c r="G96" s="11" t="n"/>
      <c r="H96" s="10" t="n"/>
    </row>
    <row r="97">
      <c r="A97" s="10" t="n"/>
      <c r="B97" s="10" t="n"/>
      <c r="C97" s="10" t="n"/>
      <c r="D97" s="11" t="n"/>
      <c r="E97" s="10" t="n"/>
      <c r="F97" s="10" t="n"/>
      <c r="G97" s="11" t="n"/>
      <c r="H97" s="10" t="n"/>
    </row>
    <row r="98">
      <c r="A98" s="10" t="n"/>
      <c r="B98" s="10" t="n"/>
      <c r="C98" s="10" t="n"/>
      <c r="D98" s="11" t="n"/>
      <c r="E98" s="10" t="n"/>
      <c r="F98" s="10" t="n"/>
      <c r="G98" s="11" t="n"/>
      <c r="H98" s="10" t="n"/>
    </row>
    <row r="99">
      <c r="A99" s="10" t="n"/>
      <c r="B99" s="10" t="n"/>
      <c r="C99" s="10" t="n"/>
      <c r="D99" s="11" t="n"/>
      <c r="E99" s="10" t="n"/>
      <c r="F99" s="10" t="n"/>
      <c r="G99" s="11" t="n"/>
      <c r="H99" s="10" t="n"/>
    </row>
    <row r="100">
      <c r="A100" s="10" t="n"/>
      <c r="B100" s="10" t="n"/>
      <c r="C100" s="10" t="n"/>
      <c r="D100" s="11" t="n"/>
      <c r="E100" s="10" t="n"/>
      <c r="F100" s="10" t="n"/>
      <c r="G100" s="11" t="n"/>
      <c r="H100" s="10" t="n"/>
    </row>
    <row r="101">
      <c r="A101" s="10" t="n"/>
      <c r="B101" s="10" t="n"/>
      <c r="C101" s="10" t="n"/>
      <c r="D101" s="11" t="n"/>
      <c r="E101" s="10" t="n"/>
      <c r="F101" s="10" t="n"/>
      <c r="G101" s="11" t="n"/>
      <c r="H101" s="10" t="n"/>
    </row>
    <row r="102">
      <c r="A102" s="10" t="n"/>
      <c r="B102" s="10" t="n"/>
      <c r="C102" s="10" t="n"/>
      <c r="D102" s="11" t="n"/>
      <c r="E102" s="10" t="n"/>
      <c r="F102" s="10" t="n"/>
      <c r="G102" s="11" t="n"/>
      <c r="H102" s="10" t="n"/>
    </row>
    <row r="103">
      <c r="A103" s="10" t="n"/>
      <c r="B103" s="10" t="n"/>
      <c r="C103" s="10" t="n"/>
      <c r="D103" s="11" t="n"/>
      <c r="E103" s="10" t="n"/>
      <c r="F103" s="10" t="n"/>
      <c r="G103" s="11" t="n"/>
      <c r="H103" s="10" t="n"/>
    </row>
    <row r="104">
      <c r="A104" s="10" t="n"/>
      <c r="B104" s="10" t="n"/>
      <c r="C104" s="10" t="n"/>
      <c r="D104" s="11" t="n"/>
      <c r="E104" s="10" t="n"/>
      <c r="F104" s="10" t="n"/>
      <c r="G104" s="11" t="n"/>
      <c r="H104" s="10" t="n"/>
    </row>
    <row r="105">
      <c r="A105" s="10" t="n"/>
      <c r="B105" s="10" t="n"/>
      <c r="C105" s="10" t="n"/>
      <c r="D105" s="11" t="n"/>
      <c r="E105" s="10" t="n"/>
      <c r="F105" s="10" t="n"/>
      <c r="G105" s="11" t="n"/>
      <c r="H105" s="10" t="n"/>
    </row>
    <row r="106">
      <c r="A106" s="10" t="n"/>
      <c r="B106" s="10" t="n"/>
      <c r="C106" s="10" t="n"/>
      <c r="D106" s="11" t="n"/>
      <c r="E106" s="10" t="n"/>
      <c r="F106" s="10" t="n"/>
      <c r="G106" s="11" t="n"/>
      <c r="H106" s="10" t="n"/>
    </row>
    <row r="107">
      <c r="A107" s="10" t="n"/>
      <c r="B107" s="10" t="n"/>
      <c r="C107" s="10" t="n"/>
      <c r="D107" s="11" t="n"/>
      <c r="E107" s="10" t="n"/>
      <c r="F107" s="10" t="n"/>
      <c r="G107" s="11" t="n"/>
      <c r="H107" s="10" t="n"/>
    </row>
    <row r="108">
      <c r="A108" s="10" t="n"/>
      <c r="B108" s="10" t="n"/>
      <c r="C108" s="10" t="n"/>
      <c r="D108" s="11" t="n"/>
      <c r="E108" s="10" t="n"/>
      <c r="F108" s="10" t="n"/>
      <c r="G108" s="11" t="n"/>
      <c r="H108" s="10" t="n"/>
    </row>
    <row r="109">
      <c r="A109" s="10" t="n"/>
      <c r="B109" s="10" t="n"/>
      <c r="C109" s="10" t="n"/>
      <c r="D109" s="11" t="n"/>
      <c r="E109" s="10" t="n"/>
      <c r="F109" s="10" t="n"/>
      <c r="G109" s="11" t="n"/>
      <c r="H109" s="10" t="n"/>
    </row>
    <row r="110">
      <c r="A110" s="10" t="n"/>
      <c r="B110" s="10" t="n"/>
      <c r="C110" s="10" t="n"/>
      <c r="D110" s="11" t="n"/>
      <c r="E110" s="10" t="n"/>
      <c r="F110" s="10" t="n"/>
      <c r="G110" s="11" t="n"/>
      <c r="H110" s="10" t="n"/>
    </row>
    <row r="111">
      <c r="A111" s="10" t="n"/>
      <c r="B111" s="10" t="n"/>
      <c r="C111" s="10" t="n"/>
      <c r="D111" s="11" t="n"/>
      <c r="E111" s="10" t="n"/>
      <c r="F111" s="10" t="n"/>
      <c r="G111" s="11" t="n"/>
      <c r="H111" s="10" t="n"/>
    </row>
    <row r="112">
      <c r="A112" s="10" t="n"/>
      <c r="B112" s="10" t="n"/>
      <c r="C112" s="10" t="n"/>
      <c r="D112" s="11" t="n"/>
      <c r="E112" s="10" t="n"/>
      <c r="F112" s="10" t="n"/>
      <c r="G112" s="11" t="n"/>
      <c r="H112" s="10" t="n"/>
    </row>
    <row r="113">
      <c r="A113" s="10" t="n"/>
      <c r="B113" s="10" t="n"/>
      <c r="C113" s="10" t="n"/>
      <c r="D113" s="11" t="n"/>
      <c r="E113" s="10" t="n"/>
      <c r="F113" s="10" t="n"/>
      <c r="G113" s="11" t="n"/>
      <c r="H113" s="10" t="n"/>
    </row>
    <row r="114">
      <c r="A114" s="10" t="n"/>
      <c r="B114" s="10" t="n"/>
      <c r="C114" s="10" t="n"/>
      <c r="D114" s="11" t="n"/>
      <c r="E114" s="10" t="n"/>
      <c r="F114" s="10" t="n"/>
      <c r="G114" s="11" t="n"/>
      <c r="H114" s="10" t="n"/>
    </row>
    <row r="115">
      <c r="A115" s="10" t="n"/>
      <c r="B115" s="10" t="n"/>
      <c r="C115" s="10" t="n"/>
      <c r="D115" s="11" t="n"/>
      <c r="E115" s="10" t="n"/>
      <c r="F115" s="10" t="n"/>
      <c r="G115" s="11" t="n"/>
      <c r="H115" s="10" t="n"/>
    </row>
    <row r="116">
      <c r="A116" s="10" t="n"/>
      <c r="B116" s="10" t="n"/>
      <c r="C116" s="10" t="n"/>
      <c r="D116" s="11" t="n"/>
      <c r="E116" s="10" t="n"/>
      <c r="F116" s="10" t="n"/>
      <c r="G116" s="11" t="n"/>
      <c r="H116" s="10" t="n"/>
    </row>
    <row r="117">
      <c r="A117" s="10" t="n"/>
      <c r="B117" s="10" t="n"/>
      <c r="C117" s="10" t="n"/>
      <c r="D117" s="11" t="n"/>
      <c r="E117" s="10" t="n"/>
      <c r="F117" s="10" t="n"/>
      <c r="G117" s="11" t="n"/>
      <c r="H117" s="10" t="n"/>
    </row>
    <row r="118">
      <c r="A118" s="10" t="n"/>
      <c r="B118" s="10" t="n"/>
      <c r="C118" s="10" t="n"/>
      <c r="D118" s="11" t="n"/>
      <c r="E118" s="10" t="n"/>
      <c r="F118" s="10" t="n"/>
      <c r="G118" s="11" t="n"/>
      <c r="H118" s="10" t="n"/>
    </row>
    <row r="119">
      <c r="A119" s="10" t="n"/>
      <c r="B119" s="10" t="n"/>
      <c r="C119" s="10" t="n"/>
      <c r="D119" s="11" t="n"/>
      <c r="E119" s="10" t="n"/>
      <c r="F119" s="10" t="n"/>
      <c r="G119" s="11" t="n"/>
      <c r="H119" s="10" t="n"/>
    </row>
    <row r="120">
      <c r="A120" s="10" t="n"/>
      <c r="B120" s="10" t="n"/>
      <c r="C120" s="10" t="n"/>
      <c r="D120" s="11" t="n"/>
      <c r="E120" s="10" t="n"/>
      <c r="F120" s="10" t="n"/>
      <c r="G120" s="11" t="n"/>
      <c r="H120" s="10" t="n"/>
    </row>
    <row r="121">
      <c r="A121" s="10" t="n"/>
      <c r="B121" s="10" t="n"/>
      <c r="C121" s="10" t="n"/>
      <c r="D121" s="11" t="n"/>
      <c r="E121" s="10" t="n"/>
      <c r="F121" s="10" t="n"/>
      <c r="G121" s="11" t="n"/>
      <c r="H121" s="10" t="n"/>
    </row>
    <row r="122">
      <c r="A122" s="10" t="n"/>
      <c r="B122" s="10" t="n"/>
      <c r="C122" s="10" t="n"/>
      <c r="D122" s="11" t="n"/>
      <c r="E122" s="10" t="n"/>
      <c r="F122" s="10" t="n"/>
      <c r="G122" s="11" t="n"/>
      <c r="H122" s="10" t="n"/>
    </row>
    <row r="123">
      <c r="A123" s="10" t="n"/>
      <c r="B123" s="10" t="n"/>
      <c r="C123" s="10" t="n"/>
      <c r="D123" s="11" t="n"/>
      <c r="E123" s="10" t="n"/>
      <c r="F123" s="10" t="n"/>
      <c r="G123" s="11" t="n"/>
      <c r="H123" s="10" t="n"/>
    </row>
    <row r="124">
      <c r="A124" s="10" t="n"/>
      <c r="B124" s="10" t="n"/>
      <c r="C124" s="10" t="n"/>
      <c r="D124" s="11" t="n"/>
      <c r="E124" s="10" t="n"/>
      <c r="F124" s="10" t="n"/>
      <c r="G124" s="11" t="n"/>
      <c r="H124" s="10" t="n"/>
    </row>
    <row r="125">
      <c r="A125" s="10" t="n"/>
      <c r="B125" s="10" t="n"/>
      <c r="C125" s="10" t="n"/>
      <c r="D125" s="11" t="n"/>
      <c r="E125" s="10" t="n"/>
      <c r="F125" s="10" t="n"/>
      <c r="G125" s="11" t="n"/>
      <c r="H125" s="10" t="n"/>
    </row>
    <row r="126">
      <c r="A126" s="10" t="n"/>
      <c r="B126" s="10" t="n"/>
      <c r="C126" s="10" t="n"/>
      <c r="D126" s="11" t="n"/>
      <c r="E126" s="10" t="n"/>
      <c r="F126" s="10" t="n"/>
      <c r="G126" s="11" t="n"/>
      <c r="H126" s="10" t="n"/>
    </row>
    <row r="127">
      <c r="A127" s="10" t="n"/>
      <c r="B127" s="10" t="n"/>
      <c r="C127" s="10" t="n"/>
      <c r="D127" s="11" t="n"/>
      <c r="E127" s="10" t="n"/>
      <c r="F127" s="10" t="n"/>
      <c r="G127" s="11" t="n"/>
      <c r="H127" s="10" t="n"/>
    </row>
    <row r="128">
      <c r="A128" s="10" t="n"/>
      <c r="B128" s="10" t="n"/>
      <c r="C128" s="10" t="n"/>
      <c r="D128" s="11" t="n"/>
      <c r="E128" s="10" t="n"/>
      <c r="F128" s="10" t="n"/>
      <c r="G128" s="11" t="n"/>
      <c r="H128" s="10" t="n"/>
    </row>
    <row r="129">
      <c r="A129" s="10" t="n"/>
      <c r="B129" s="10" t="n"/>
      <c r="C129" s="10" t="n"/>
      <c r="D129" s="11" t="n"/>
      <c r="E129" s="10" t="n"/>
      <c r="F129" s="10" t="n"/>
      <c r="G129" s="11" t="n"/>
      <c r="H129" s="10" t="n"/>
    </row>
    <row r="130">
      <c r="A130" s="10" t="n"/>
      <c r="B130" s="10" t="n"/>
      <c r="C130" s="10" t="n"/>
      <c r="D130" s="11" t="n"/>
      <c r="E130" s="10" t="n"/>
      <c r="F130" s="10" t="n"/>
      <c r="G130" s="11" t="n"/>
      <c r="H130" s="10" t="n"/>
    </row>
    <row r="131">
      <c r="A131" s="10" t="n"/>
      <c r="B131" s="10" t="n"/>
      <c r="C131" s="10" t="n"/>
      <c r="D131" s="11" t="n"/>
      <c r="E131" s="10" t="n"/>
      <c r="F131" s="10" t="n"/>
      <c r="G131" s="11" t="n"/>
      <c r="H131" s="10" t="n"/>
    </row>
    <row r="132">
      <c r="A132" s="10" t="n"/>
      <c r="B132" s="10" t="n"/>
      <c r="C132" s="10" t="n"/>
      <c r="D132" s="11" t="n"/>
      <c r="E132" s="10" t="n"/>
      <c r="F132" s="10" t="n"/>
      <c r="G132" s="11" t="n"/>
      <c r="H132" s="10" t="n"/>
    </row>
    <row r="133">
      <c r="A133" s="10" t="n"/>
      <c r="B133" s="10" t="n"/>
      <c r="C133" s="10" t="n"/>
      <c r="D133" s="11" t="n"/>
      <c r="E133" s="10" t="n"/>
      <c r="F133" s="10" t="n"/>
      <c r="G133" s="11" t="n"/>
      <c r="H133" s="10" t="n"/>
    </row>
    <row r="134">
      <c r="A134" s="10" t="n"/>
      <c r="B134" s="10" t="n"/>
      <c r="C134" s="10" t="n"/>
      <c r="D134" s="11" t="n"/>
      <c r="E134" s="10" t="n"/>
      <c r="F134" s="10" t="n"/>
      <c r="G134" s="11" t="n"/>
      <c r="H134" s="10" t="n"/>
    </row>
    <row r="135">
      <c r="A135" s="10" t="n"/>
      <c r="B135" s="10" t="n"/>
      <c r="C135" s="10" t="n"/>
      <c r="D135" s="11" t="n"/>
      <c r="E135" s="10" t="n"/>
      <c r="F135" s="10" t="n"/>
      <c r="G135" s="11" t="n"/>
      <c r="H135" s="10" t="n"/>
    </row>
    <row r="136">
      <c r="A136" s="10" t="n"/>
      <c r="B136" s="10" t="n"/>
      <c r="C136" s="10" t="n"/>
      <c r="D136" s="11" t="n"/>
      <c r="E136" s="10" t="n"/>
      <c r="F136" s="10" t="n"/>
      <c r="G136" s="11" t="n"/>
      <c r="H136" s="10" t="n"/>
    </row>
    <row r="137">
      <c r="A137" s="10" t="n"/>
      <c r="B137" s="10" t="n"/>
      <c r="C137" s="10" t="n"/>
      <c r="D137" s="11" t="n"/>
      <c r="E137" s="10" t="n"/>
      <c r="F137" s="10" t="n"/>
      <c r="G137" s="11" t="n"/>
      <c r="H137" s="10" t="n"/>
    </row>
    <row r="138">
      <c r="A138" s="10" t="n"/>
      <c r="B138" s="10" t="n"/>
      <c r="C138" s="10" t="n"/>
      <c r="D138" s="11" t="n"/>
      <c r="E138" s="10" t="n"/>
      <c r="F138" s="10" t="n"/>
      <c r="G138" s="11" t="n"/>
      <c r="H138" s="10" t="n"/>
    </row>
    <row r="139">
      <c r="A139" s="10" t="n"/>
      <c r="B139" s="10" t="n"/>
      <c r="C139" s="10" t="n"/>
      <c r="D139" s="11" t="n"/>
      <c r="E139" s="10" t="n"/>
      <c r="F139" s="10" t="n"/>
      <c r="G139" s="11" t="n"/>
      <c r="H139" s="10" t="n"/>
    </row>
    <row r="140">
      <c r="A140" s="10" t="n"/>
      <c r="B140" s="10" t="n"/>
      <c r="C140" s="10" t="n"/>
      <c r="D140" s="11" t="n"/>
      <c r="E140" s="10" t="n"/>
      <c r="F140" s="10" t="n"/>
      <c r="G140" s="11" t="n"/>
      <c r="H140" s="10" t="n"/>
    </row>
    <row r="141">
      <c r="A141" s="10" t="n"/>
      <c r="B141" s="10" t="n"/>
      <c r="C141" s="10" t="n"/>
      <c r="D141" s="11" t="n"/>
      <c r="E141" s="10" t="n"/>
      <c r="F141" s="10" t="n"/>
      <c r="G141" s="11" t="n"/>
      <c r="H141" s="10" t="n"/>
    </row>
    <row r="142">
      <c r="A142" s="10" t="n"/>
      <c r="B142" s="10" t="n"/>
      <c r="C142" s="10" t="n"/>
      <c r="D142" s="11" t="n"/>
      <c r="E142" s="10" t="n"/>
      <c r="F142" s="10" t="n"/>
      <c r="G142" s="11" t="n"/>
      <c r="H142" s="10" t="n"/>
    </row>
    <row r="143">
      <c r="A143" s="10" t="n"/>
      <c r="B143" s="10" t="n"/>
      <c r="C143" s="10" t="n"/>
      <c r="D143" s="11" t="n"/>
      <c r="E143" s="10" t="n"/>
      <c r="F143" s="10" t="n"/>
      <c r="G143" s="11" t="n"/>
      <c r="H143" s="10" t="n"/>
    </row>
    <row r="144">
      <c r="A144" s="10" t="n"/>
      <c r="B144" s="10" t="n"/>
      <c r="C144" s="10" t="n"/>
      <c r="D144" s="11" t="n"/>
      <c r="E144" s="10" t="n"/>
      <c r="F144" s="10" t="n"/>
      <c r="G144" s="11" t="n"/>
      <c r="H144" s="10" t="n"/>
    </row>
    <row r="145">
      <c r="A145" s="10" t="n"/>
      <c r="B145" s="10" t="n"/>
      <c r="C145" s="10" t="n"/>
      <c r="D145" s="11" t="n"/>
      <c r="E145" s="10" t="n"/>
      <c r="F145" s="10" t="n"/>
      <c r="G145" s="11" t="n"/>
      <c r="H145" s="10" t="n"/>
    </row>
    <row r="146">
      <c r="A146" s="10" t="n"/>
      <c r="B146" s="10" t="n"/>
      <c r="C146" s="10" t="n"/>
      <c r="D146" s="11" t="n"/>
      <c r="E146" s="10" t="n"/>
      <c r="F146" s="10" t="n"/>
      <c r="G146" s="11" t="n"/>
      <c r="H146" s="10" t="n"/>
    </row>
    <row r="147">
      <c r="A147" s="10" t="n"/>
      <c r="B147" s="10" t="n"/>
      <c r="C147" s="10" t="n"/>
      <c r="D147" s="11" t="n"/>
      <c r="E147" s="10" t="n"/>
      <c r="F147" s="10" t="n"/>
      <c r="G147" s="11" t="n"/>
      <c r="H147" s="10" t="n"/>
    </row>
    <row r="148">
      <c r="A148" s="10" t="n"/>
      <c r="B148" s="10" t="n"/>
      <c r="C148" s="10" t="n"/>
      <c r="D148" s="11" t="n"/>
      <c r="E148" s="10" t="n"/>
      <c r="F148" s="10" t="n"/>
      <c r="G148" s="11" t="n"/>
      <c r="H148" s="10" t="n"/>
    </row>
    <row r="149">
      <c r="A149" s="10" t="n"/>
      <c r="B149" s="10" t="n"/>
      <c r="C149" s="10" t="n"/>
      <c r="D149" s="11" t="n"/>
      <c r="E149" s="10" t="n"/>
      <c r="F149" s="10" t="n"/>
      <c r="G149" s="11" t="n"/>
      <c r="H149" s="10" t="n"/>
    </row>
    <row r="150">
      <c r="A150" s="10" t="n"/>
      <c r="B150" s="10" t="n"/>
      <c r="C150" s="10" t="n"/>
      <c r="D150" s="11" t="n"/>
      <c r="E150" s="10" t="n"/>
      <c r="F150" s="10" t="n"/>
      <c r="G150" s="11" t="n"/>
      <c r="H150" s="10" t="n"/>
    </row>
    <row r="151">
      <c r="A151" s="10" t="n"/>
      <c r="B151" s="10" t="n"/>
      <c r="C151" s="10" t="n"/>
      <c r="D151" s="11" t="n"/>
      <c r="E151" s="10" t="n"/>
      <c r="F151" s="10" t="n"/>
      <c r="G151" s="11" t="n"/>
      <c r="H151" s="10" t="n"/>
    </row>
    <row r="152">
      <c r="A152" s="10" t="n"/>
      <c r="B152" s="10" t="n"/>
      <c r="C152" s="10" t="n"/>
      <c r="D152" s="11" t="n"/>
      <c r="E152" s="10" t="n"/>
      <c r="F152" s="10" t="n"/>
      <c r="G152" s="11" t="n"/>
      <c r="H152" s="10" t="n"/>
    </row>
    <row r="153">
      <c r="A153" s="10" t="n"/>
      <c r="B153" s="10" t="n"/>
      <c r="C153" s="10" t="n"/>
      <c r="D153" s="11" t="n"/>
      <c r="E153" s="10" t="n"/>
      <c r="F153" s="10" t="n"/>
      <c r="G153" s="11" t="n"/>
      <c r="H153" s="10" t="n"/>
    </row>
    <row r="154">
      <c r="A154" s="10" t="n"/>
      <c r="B154" s="10" t="n"/>
      <c r="C154" s="10" t="n"/>
      <c r="D154" s="11" t="n"/>
      <c r="E154" s="10" t="n"/>
      <c r="F154" s="10" t="n"/>
      <c r="G154" s="11" t="n"/>
      <c r="H154" s="10" t="n"/>
    </row>
    <row r="155">
      <c r="A155" s="10" t="n"/>
      <c r="B155" s="10" t="n"/>
      <c r="C155" s="10" t="n"/>
      <c r="D155" s="11" t="n"/>
      <c r="E155" s="10" t="n"/>
      <c r="F155" s="10" t="n"/>
      <c r="G155" s="11" t="n"/>
      <c r="H155" s="10" t="n"/>
    </row>
    <row r="156">
      <c r="A156" s="10" t="n"/>
      <c r="B156" s="10" t="n"/>
      <c r="C156" s="10" t="n"/>
      <c r="D156" s="11" t="n"/>
      <c r="E156" s="10" t="n"/>
      <c r="F156" s="10" t="n"/>
      <c r="G156" s="11" t="n"/>
      <c r="H156" s="10" t="n"/>
    </row>
    <row r="157">
      <c r="A157" s="10" t="n"/>
      <c r="B157" s="10" t="n"/>
      <c r="C157" s="10" t="n"/>
      <c r="D157" s="11" t="n"/>
      <c r="E157" s="10" t="n"/>
      <c r="F157" s="10" t="n"/>
      <c r="G157" s="11" t="n"/>
      <c r="H157" s="10" t="n"/>
    </row>
    <row r="158">
      <c r="A158" s="10" t="n"/>
      <c r="B158" s="10" t="n"/>
      <c r="C158" s="10" t="n"/>
      <c r="D158" s="11" t="n"/>
      <c r="E158" s="10" t="n"/>
      <c r="F158" s="10" t="n"/>
      <c r="G158" s="11" t="n"/>
      <c r="H158" s="10" t="n"/>
    </row>
    <row r="159">
      <c r="A159" s="10" t="n"/>
      <c r="B159" s="10" t="n"/>
      <c r="C159" s="10" t="n"/>
      <c r="D159" s="11" t="n"/>
      <c r="E159" s="10" t="n"/>
      <c r="F159" s="10" t="n"/>
      <c r="G159" s="11" t="n"/>
      <c r="H159" s="10" t="n"/>
    </row>
    <row r="160">
      <c r="A160" s="10" t="n"/>
      <c r="B160" s="10" t="n"/>
      <c r="C160" s="10" t="n"/>
      <c r="D160" s="11" t="n"/>
      <c r="E160" s="10" t="n"/>
      <c r="F160" s="10" t="n"/>
      <c r="G160" s="11" t="n"/>
      <c r="H160" s="10" t="n"/>
    </row>
    <row r="161">
      <c r="A161" s="10" t="n"/>
      <c r="B161" s="10" t="n"/>
      <c r="C161" s="10" t="n"/>
      <c r="D161" s="11" t="n"/>
      <c r="E161" s="10" t="n"/>
      <c r="F161" s="10" t="n"/>
      <c r="G161" s="11" t="n"/>
      <c r="H161" s="10" t="n"/>
    </row>
    <row r="162">
      <c r="A162" s="10" t="n"/>
      <c r="B162" s="10" t="n"/>
      <c r="C162" s="10" t="n"/>
      <c r="D162" s="11" t="n"/>
      <c r="E162" s="10" t="n"/>
      <c r="F162" s="10" t="n"/>
      <c r="G162" s="11" t="n"/>
      <c r="H162" s="10" t="n"/>
    </row>
    <row r="163">
      <c r="A163" s="10" t="n"/>
      <c r="B163" s="10" t="n"/>
      <c r="C163" s="10" t="n"/>
      <c r="D163" s="11" t="n"/>
      <c r="E163" s="10" t="n"/>
      <c r="F163" s="10" t="n"/>
      <c r="G163" s="11" t="n"/>
      <c r="H163" s="10" t="n"/>
    </row>
    <row r="164">
      <c r="A164" s="10" t="n"/>
      <c r="B164" s="10" t="n"/>
      <c r="C164" s="10" t="n"/>
      <c r="D164" s="11" t="n"/>
      <c r="E164" s="10" t="n"/>
      <c r="F164" s="10" t="n"/>
      <c r="G164" s="11" t="n"/>
      <c r="H164" s="10" t="n"/>
    </row>
    <row r="165">
      <c r="A165" s="10" t="n"/>
      <c r="B165" s="10" t="n"/>
      <c r="C165" s="10" t="n"/>
      <c r="D165" s="11" t="n"/>
      <c r="E165" s="10" t="n"/>
      <c r="F165" s="10" t="n"/>
      <c r="G165" s="11" t="n"/>
      <c r="H165" s="10" t="n"/>
    </row>
    <row r="166">
      <c r="A166" s="10" t="n"/>
      <c r="B166" s="10" t="n"/>
      <c r="C166" s="10" t="n"/>
      <c r="D166" s="11" t="n"/>
      <c r="E166" s="10" t="n"/>
      <c r="F166" s="10" t="n"/>
      <c r="G166" s="11" t="n"/>
      <c r="H166" s="10" t="n"/>
    </row>
    <row r="167">
      <c r="A167" s="10" t="n"/>
      <c r="B167" s="10" t="n"/>
      <c r="C167" s="10" t="n"/>
      <c r="D167" s="11" t="n"/>
      <c r="E167" s="10" t="n"/>
      <c r="F167" s="10" t="n"/>
      <c r="G167" s="11" t="n"/>
      <c r="H167" s="10" t="n"/>
    </row>
    <row r="168">
      <c r="A168" s="10" t="n"/>
      <c r="B168" s="10" t="n"/>
      <c r="C168" s="10" t="n"/>
      <c r="D168" s="11" t="n"/>
      <c r="E168" s="10" t="n"/>
      <c r="F168" s="10" t="n"/>
      <c r="G168" s="11" t="n"/>
      <c r="H168" s="10" t="n"/>
    </row>
    <row r="169">
      <c r="A169" s="10" t="n"/>
      <c r="B169" s="10" t="n"/>
      <c r="C169" s="10" t="n"/>
      <c r="D169" s="11" t="n"/>
      <c r="E169" s="10" t="n"/>
      <c r="F169" s="10" t="n"/>
      <c r="G169" s="11" t="n"/>
      <c r="H169" s="10" t="n"/>
    </row>
    <row r="170">
      <c r="A170" s="10" t="n"/>
      <c r="B170" s="10" t="n"/>
      <c r="C170" s="10" t="n"/>
      <c r="D170" s="11" t="n"/>
      <c r="E170" s="10" t="n"/>
      <c r="F170" s="10" t="n"/>
      <c r="G170" s="11" t="n"/>
      <c r="H170" s="10" t="n"/>
    </row>
    <row r="171">
      <c r="A171" s="10" t="n"/>
      <c r="B171" s="10" t="n"/>
      <c r="C171" s="10" t="n"/>
      <c r="D171" s="11" t="n"/>
      <c r="E171" s="10" t="n"/>
      <c r="F171" s="10" t="n"/>
      <c r="G171" s="11" t="n"/>
      <c r="H171" s="10" t="n"/>
    </row>
    <row r="172">
      <c r="A172" s="10" t="n"/>
      <c r="B172" s="10" t="n"/>
      <c r="C172" s="10" t="n"/>
      <c r="D172" s="11" t="n"/>
      <c r="E172" s="10" t="n"/>
      <c r="F172" s="10" t="n"/>
      <c r="G172" s="11" t="n"/>
      <c r="H172" s="10" t="n"/>
    </row>
    <row r="173">
      <c r="A173" s="10" t="n"/>
      <c r="B173" s="10" t="n"/>
      <c r="C173" s="10" t="n"/>
      <c r="D173" s="11" t="n"/>
      <c r="E173" s="10" t="n"/>
      <c r="F173" s="10" t="n"/>
      <c r="G173" s="11" t="n"/>
      <c r="H173" s="10" t="n"/>
    </row>
    <row r="174">
      <c r="A174" s="10" t="n"/>
      <c r="B174" s="10" t="n"/>
      <c r="C174" s="10" t="n"/>
      <c r="D174" s="11" t="n"/>
      <c r="E174" s="10" t="n"/>
      <c r="F174" s="10" t="n"/>
      <c r="G174" s="11" t="n"/>
      <c r="H174" s="10" t="n"/>
    </row>
    <row r="175">
      <c r="A175" s="10" t="n"/>
      <c r="B175" s="10" t="n"/>
      <c r="C175" s="10" t="n"/>
      <c r="D175" s="11" t="n"/>
      <c r="E175" s="10" t="n"/>
      <c r="F175" s="10" t="n"/>
      <c r="G175" s="11" t="n"/>
      <c r="H175" s="10" t="n"/>
    </row>
    <row r="176">
      <c r="A176" s="10" t="n"/>
      <c r="B176" s="10" t="n"/>
      <c r="C176" s="10" t="n"/>
      <c r="D176" s="11" t="n"/>
      <c r="E176" s="10" t="n"/>
      <c r="F176" s="10" t="n"/>
      <c r="G176" s="11" t="n"/>
      <c r="H176" s="10" t="n"/>
    </row>
    <row r="177">
      <c r="A177" s="10" t="n"/>
      <c r="B177" s="10" t="n"/>
      <c r="C177" s="10" t="n"/>
      <c r="D177" s="11" t="n"/>
      <c r="E177" s="10" t="n"/>
      <c r="F177" s="10" t="n"/>
      <c r="G177" s="11" t="n"/>
      <c r="H177" s="10" t="n"/>
    </row>
    <row r="178">
      <c r="A178" s="10" t="n"/>
      <c r="B178" s="10" t="n"/>
      <c r="C178" s="10" t="n"/>
      <c r="D178" s="11" t="n"/>
      <c r="E178" s="10" t="n"/>
      <c r="F178" s="10" t="n"/>
      <c r="G178" s="11" t="n"/>
      <c r="H178" s="10" t="n"/>
    </row>
    <row r="179">
      <c r="A179" s="10" t="n"/>
      <c r="B179" s="10" t="n"/>
      <c r="C179" s="10" t="n"/>
      <c r="D179" s="11" t="n"/>
      <c r="E179" s="10" t="n"/>
      <c r="F179" s="10" t="n"/>
      <c r="G179" s="11" t="n"/>
      <c r="H179" s="10" t="n"/>
    </row>
    <row r="180">
      <c r="A180" s="10" t="n"/>
      <c r="B180" s="10" t="n"/>
      <c r="C180" s="10" t="n"/>
      <c r="D180" s="11" t="n"/>
      <c r="E180" s="10" t="n"/>
      <c r="F180" s="10" t="n"/>
      <c r="G180" s="11" t="n"/>
      <c r="H180" s="10" t="n"/>
    </row>
    <row r="181">
      <c r="A181" s="10" t="n"/>
      <c r="B181" s="10" t="n"/>
      <c r="C181" s="10" t="n"/>
      <c r="D181" s="11" t="n"/>
      <c r="E181" s="10" t="n"/>
      <c r="F181" s="10" t="n"/>
      <c r="G181" s="11" t="n"/>
      <c r="H181" s="10" t="n"/>
    </row>
    <row r="182">
      <c r="A182" s="10" t="n"/>
      <c r="B182" s="10" t="n"/>
      <c r="C182" s="10" t="n"/>
      <c r="D182" s="11" t="n"/>
      <c r="E182" s="10" t="n"/>
      <c r="F182" s="10" t="n"/>
      <c r="G182" s="11" t="n"/>
      <c r="H182" s="10" t="n"/>
    </row>
    <row r="183">
      <c r="A183" s="10" t="n"/>
      <c r="B183" s="10" t="n"/>
      <c r="C183" s="10" t="n"/>
      <c r="D183" s="11" t="n"/>
      <c r="E183" s="10" t="n"/>
      <c r="F183" s="10" t="n"/>
      <c r="G183" s="11" t="n"/>
      <c r="H183" s="10" t="n"/>
    </row>
    <row r="184">
      <c r="A184" s="10" t="n"/>
      <c r="B184" s="10" t="n"/>
      <c r="C184" s="10" t="n"/>
      <c r="D184" s="11" t="n"/>
      <c r="E184" s="10" t="n"/>
      <c r="F184" s="10" t="n"/>
      <c r="G184" s="11" t="n"/>
      <c r="H184" s="10" t="n"/>
    </row>
    <row r="185">
      <c r="A185" s="10" t="n"/>
      <c r="B185" s="10" t="n"/>
      <c r="C185" s="10" t="n"/>
      <c r="D185" s="11" t="n"/>
      <c r="E185" s="10" t="n"/>
      <c r="F185" s="10" t="n"/>
      <c r="G185" s="11" t="n"/>
      <c r="H185" s="10" t="n"/>
    </row>
    <row r="186">
      <c r="A186" s="10" t="n"/>
      <c r="B186" s="10" t="n"/>
      <c r="C186" s="10" t="n"/>
      <c r="D186" s="11" t="n"/>
      <c r="E186" s="10" t="n"/>
      <c r="F186" s="10" t="n"/>
      <c r="G186" s="11" t="n"/>
      <c r="H186" s="10" t="n"/>
    </row>
    <row r="187">
      <c r="A187" s="10" t="n"/>
      <c r="B187" s="10" t="n"/>
      <c r="C187" s="10" t="n"/>
      <c r="D187" s="11" t="n"/>
      <c r="E187" s="10" t="n"/>
      <c r="F187" s="10" t="n"/>
      <c r="G187" s="11" t="n"/>
      <c r="H187" s="10" t="n"/>
    </row>
    <row r="188">
      <c r="A188" s="10" t="n"/>
      <c r="B188" s="10" t="n"/>
      <c r="C188" s="10" t="n"/>
      <c r="D188" s="11" t="n"/>
      <c r="E188" s="10" t="n"/>
      <c r="F188" s="10" t="n"/>
      <c r="G188" s="11" t="n"/>
      <c r="H188" s="10" t="n"/>
    </row>
    <row r="189">
      <c r="A189" s="10" t="n"/>
      <c r="B189" s="10" t="n"/>
      <c r="C189" s="10" t="n"/>
      <c r="D189" s="11" t="n"/>
      <c r="E189" s="10" t="n"/>
      <c r="F189" s="10" t="n"/>
      <c r="G189" s="11" t="n"/>
      <c r="H189" s="10" t="n"/>
    </row>
    <row r="190">
      <c r="A190" s="10" t="n"/>
      <c r="B190" s="10" t="n"/>
      <c r="C190" s="10" t="n"/>
      <c r="D190" s="11" t="n"/>
      <c r="E190" s="10" t="n"/>
      <c r="F190" s="10" t="n"/>
      <c r="G190" s="11" t="n"/>
      <c r="H190" s="10" t="n"/>
    </row>
    <row r="191">
      <c r="A191" s="10" t="n"/>
      <c r="B191" s="10" t="n"/>
      <c r="C191" s="10" t="n"/>
      <c r="D191" s="11" t="n"/>
      <c r="E191" s="10" t="n"/>
      <c r="F191" s="10" t="n"/>
      <c r="G191" s="11" t="n"/>
      <c r="H191" s="10" t="n"/>
    </row>
    <row r="192">
      <c r="A192" s="10" t="n"/>
      <c r="B192" s="10" t="n"/>
      <c r="C192" s="10" t="n"/>
      <c r="D192" s="11" t="n"/>
      <c r="E192" s="10" t="n"/>
      <c r="F192" s="10" t="n"/>
      <c r="G192" s="11" t="n"/>
      <c r="H192" s="10" t="n"/>
    </row>
    <row r="193">
      <c r="A193" s="10" t="n"/>
      <c r="B193" s="10" t="n"/>
      <c r="C193" s="10" t="n"/>
      <c r="D193" s="11" t="n"/>
      <c r="E193" s="10" t="n"/>
      <c r="F193" s="10" t="n"/>
      <c r="G193" s="11" t="n"/>
      <c r="H193" s="10" t="n"/>
    </row>
    <row r="194">
      <c r="A194" s="10" t="n"/>
      <c r="B194" s="10" t="n"/>
      <c r="C194" s="10" t="n"/>
      <c r="D194" s="11" t="n"/>
      <c r="E194" s="10" t="n"/>
      <c r="F194" s="10" t="n"/>
      <c r="G194" s="11" t="n"/>
      <c r="H194" s="10" t="n"/>
    </row>
    <row r="195">
      <c r="A195" s="10" t="n"/>
      <c r="B195" s="10" t="n"/>
      <c r="C195" s="10" t="n"/>
      <c r="D195" s="11" t="n"/>
      <c r="E195" s="10" t="n"/>
      <c r="F195" s="10" t="n"/>
      <c r="G195" s="11" t="n"/>
      <c r="H195" s="10" t="n"/>
    </row>
    <row r="196">
      <c r="A196" s="10" t="n"/>
      <c r="B196" s="10" t="n"/>
      <c r="C196" s="10" t="n"/>
      <c r="D196" s="11" t="n"/>
      <c r="E196" s="10" t="n"/>
      <c r="F196" s="10" t="n"/>
      <c r="G196" s="11" t="n"/>
      <c r="H196" s="10" t="n"/>
    </row>
    <row r="197">
      <c r="A197" s="10" t="n"/>
      <c r="B197" s="10" t="n"/>
      <c r="C197" s="10" t="n"/>
      <c r="D197" s="11" t="n"/>
      <c r="E197" s="10" t="n"/>
      <c r="F197" s="10" t="n"/>
      <c r="G197" s="11" t="n"/>
      <c r="H197" s="10" t="n"/>
    </row>
    <row r="198">
      <c r="A198" s="10" t="n"/>
      <c r="B198" s="10" t="n"/>
      <c r="C198" s="10" t="n"/>
      <c r="D198" s="11" t="n"/>
      <c r="E198" s="10" t="n"/>
      <c r="F198" s="10" t="n"/>
      <c r="G198" s="11" t="n"/>
      <c r="H198" s="10" t="n"/>
    </row>
    <row r="199">
      <c r="A199" s="10" t="n"/>
      <c r="B199" s="10" t="n"/>
      <c r="C199" s="10" t="n"/>
      <c r="D199" s="11" t="n"/>
      <c r="E199" s="10" t="n"/>
      <c r="F199" s="10" t="n"/>
      <c r="G199" s="11" t="n"/>
      <c r="H199" s="10" t="n"/>
    </row>
    <row r="200">
      <c r="A200" s="10" t="n"/>
      <c r="B200" s="10" t="n"/>
      <c r="C200" s="10" t="n"/>
      <c r="D200" s="11" t="n"/>
      <c r="E200" s="10" t="n"/>
      <c r="F200" s="10" t="n"/>
      <c r="G200" s="11" t="n"/>
      <c r="H200" s="10" t="n"/>
    </row>
    <row r="201">
      <c r="A201" s="10" t="n"/>
      <c r="B201" s="10" t="n"/>
      <c r="C201" s="10" t="n"/>
      <c r="D201" s="11" t="n"/>
      <c r="E201" s="10" t="n"/>
      <c r="F201" s="10" t="n"/>
      <c r="G201" s="11" t="n"/>
      <c r="H201" s="10" t="n"/>
    </row>
    <row r="202">
      <c r="A202" s="10" t="n"/>
      <c r="B202" s="10" t="n"/>
      <c r="C202" s="10" t="n"/>
      <c r="D202" s="11" t="n"/>
      <c r="E202" s="10" t="n"/>
      <c r="F202" s="10" t="n"/>
      <c r="G202" s="11" t="n"/>
      <c r="H202" s="10" t="n"/>
    </row>
    <row r="203">
      <c r="A203" s="10" t="n"/>
      <c r="B203" s="10" t="n"/>
      <c r="C203" s="10" t="n"/>
      <c r="D203" s="11" t="n"/>
      <c r="E203" s="10" t="n"/>
      <c r="F203" s="10" t="n"/>
      <c r="G203" s="11" t="n"/>
      <c r="H203" s="10" t="n"/>
    </row>
  </sheetData>
  <mergeCells count="2">
    <mergeCell ref="A2:F2"/>
    <mergeCell ref="A1:H1"/>
  </mergeCells>
  <dataValidations count="3">
    <dataValidation sqref="B4:B203" showDropDown="0" showInputMessage="0" showErrorMessage="0" allowBlank="1" type="list">
      <formula1>Справочники!$A$5:$A$54</formula1>
    </dataValidation>
    <dataValidation sqref="C4:C203" showDropDown="0" showInputMessage="0" showErrorMessage="0" allowBlank="1" type="list">
      <formula1>Справочники!$M$5:$M$24</formula1>
    </dataValidation>
    <dataValidation sqref="F4:F203" showDropDown="0" showInputMessage="0" showErrorMessage="0" allowBlank="1" type="list">
      <formula1>"Ожидается,В пути,Получен,Отменён"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12" customWidth="1" min="33" max="33"/>
  </cols>
  <sheetData>
    <row r="1" ht="28" customHeight="1">
      <c r="A1" s="1" t="inlineStr">
        <is>
          <t>Табель — кто работал</t>
        </is>
      </c>
    </row>
    <row r="2">
      <c r="A2" s="5" t="inlineStr">
        <is>
          <t>Коды: Р работал · П полдня · В выходной · Б больничный · О отпуск · Н прогул. Отработано считается само.</t>
        </is>
      </c>
    </row>
    <row r="3" ht="30" customHeight="1">
      <c r="A3" s="6" t="inlineStr">
        <is>
          <t>Сотрудник</t>
        </is>
      </c>
      <c r="B3" s="6" t="inlineStr">
        <is>
          <t>1</t>
        </is>
      </c>
      <c r="C3" s="6" t="inlineStr">
        <is>
          <t>2</t>
        </is>
      </c>
      <c r="D3" s="6" t="inlineStr">
        <is>
          <t>3</t>
        </is>
      </c>
      <c r="E3" s="6" t="inlineStr">
        <is>
          <t>4</t>
        </is>
      </c>
      <c r="F3" s="6" t="inlineStr">
        <is>
          <t>5</t>
        </is>
      </c>
      <c r="G3" s="6" t="inlineStr">
        <is>
          <t>6</t>
        </is>
      </c>
      <c r="H3" s="6" t="inlineStr">
        <is>
          <t>7</t>
        </is>
      </c>
      <c r="I3" s="6" t="inlineStr">
        <is>
          <t>8</t>
        </is>
      </c>
      <c r="J3" s="6" t="inlineStr">
        <is>
          <t>9</t>
        </is>
      </c>
      <c r="K3" s="6" t="inlineStr">
        <is>
          <t>10</t>
        </is>
      </c>
      <c r="L3" s="6" t="inlineStr">
        <is>
          <t>11</t>
        </is>
      </c>
      <c r="M3" s="6" t="inlineStr">
        <is>
          <t>12</t>
        </is>
      </c>
      <c r="N3" s="6" t="inlineStr">
        <is>
          <t>13</t>
        </is>
      </c>
      <c r="O3" s="6" t="inlineStr">
        <is>
          <t>14</t>
        </is>
      </c>
      <c r="P3" s="6" t="inlineStr">
        <is>
          <t>15</t>
        </is>
      </c>
      <c r="Q3" s="6" t="inlineStr">
        <is>
          <t>16</t>
        </is>
      </c>
      <c r="R3" s="6" t="inlineStr">
        <is>
          <t>17</t>
        </is>
      </c>
      <c r="S3" s="6" t="inlineStr">
        <is>
          <t>18</t>
        </is>
      </c>
      <c r="T3" s="6" t="inlineStr">
        <is>
          <t>19</t>
        </is>
      </c>
      <c r="U3" s="6" t="inlineStr">
        <is>
          <t>20</t>
        </is>
      </c>
      <c r="V3" s="6" t="inlineStr">
        <is>
          <t>21</t>
        </is>
      </c>
      <c r="W3" s="6" t="inlineStr">
        <is>
          <t>22</t>
        </is>
      </c>
      <c r="X3" s="6" t="inlineStr">
        <is>
          <t>23</t>
        </is>
      </c>
      <c r="Y3" s="6" t="inlineStr">
        <is>
          <t>24</t>
        </is>
      </c>
      <c r="Z3" s="6" t="inlineStr">
        <is>
          <t>25</t>
        </is>
      </c>
      <c r="AA3" s="6" t="inlineStr">
        <is>
          <t>26</t>
        </is>
      </c>
      <c r="AB3" s="6" t="inlineStr">
        <is>
          <t>27</t>
        </is>
      </c>
      <c r="AC3" s="6" t="inlineStr">
        <is>
          <t>28</t>
        </is>
      </c>
      <c r="AD3" s="6" t="inlineStr">
        <is>
          <t>29</t>
        </is>
      </c>
      <c r="AE3" s="6" t="inlineStr">
        <is>
          <t>30</t>
        </is>
      </c>
      <c r="AF3" s="6" t="inlineStr">
        <is>
          <t>31</t>
        </is>
      </c>
      <c r="AG3" s="6" t="inlineStr">
        <is>
          <t>Отработано</t>
        </is>
      </c>
    </row>
    <row r="4">
      <c r="A4" s="10">
        <f>IF(Справочники!E5="","",Справочники!E5)</f>
        <v/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>
        <f>IF(A4="","",COUNTIF(B4:AF4,"Р")+0.5*COUNTIF(B4:AF4,"П"))</f>
        <v/>
      </c>
    </row>
    <row r="5">
      <c r="A5" s="10">
        <f>IF(Справочники!E6="","",Справочники!E6)</f>
        <v/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>
        <f>IF(A5="","",COUNTIF(B5:AF5,"Р")+0.5*COUNTIF(B5:AF5,"П"))</f>
        <v/>
      </c>
    </row>
    <row r="6">
      <c r="A6" s="10">
        <f>IF(Справочники!E7="","",Справочники!E7)</f>
        <v/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>
        <f>IF(A6="","",COUNTIF(B6:AF6,"Р")+0.5*COUNTIF(B6:AF6,"П"))</f>
        <v/>
      </c>
    </row>
    <row r="7">
      <c r="A7" s="10">
        <f>IF(Справочники!E8="","",Справочники!E8)</f>
        <v/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>
        <f>IF(A7="","",COUNTIF(B7:AF7,"Р")+0.5*COUNTIF(B7:AF7,"П"))</f>
        <v/>
      </c>
    </row>
    <row r="8">
      <c r="A8" s="10">
        <f>IF(Справочники!E9="","",Справочники!E9)</f>
        <v/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>
        <f>IF(A8="","",COUNTIF(B8:AF8,"Р")+0.5*COUNTIF(B8:AF8,"П"))</f>
        <v/>
      </c>
    </row>
    <row r="9">
      <c r="A9" s="10">
        <f>IF(Справочники!E10="","",Справочники!E10)</f>
        <v/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>
        <f>IF(A9="","",COUNTIF(B9:AF9,"Р")+0.5*COUNTIF(B9:AF9,"П"))</f>
        <v/>
      </c>
    </row>
    <row r="10">
      <c r="A10" s="10">
        <f>IF(Справочники!E11="","",Справочники!E11)</f>
        <v/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>
        <f>IF(A10="","",COUNTIF(B10:AF10,"Р")+0.5*COUNTIF(B10:AF10,"П"))</f>
        <v/>
      </c>
    </row>
    <row r="11">
      <c r="A11" s="10">
        <f>IF(Справочники!E12="","",Справочники!E12)</f>
        <v/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>
        <f>IF(A11="","",COUNTIF(B11:AF11,"Р")+0.5*COUNTIF(B11:AF11,"П"))</f>
        <v/>
      </c>
    </row>
    <row r="12">
      <c r="A12" s="10">
        <f>IF(Справочники!E13="","",Справочники!E13)</f>
        <v/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>
        <f>IF(A12="","",COUNTIF(B12:AF12,"Р")+0.5*COUNTIF(B12:AF12,"П"))</f>
        <v/>
      </c>
    </row>
    <row r="13">
      <c r="A13" s="10">
        <f>IF(Справочники!E14="","",Справочники!E14)</f>
        <v/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>
        <f>IF(A13="","",COUNTIF(B13:AF13,"Р")+0.5*COUNTIF(B13:AF13,"П"))</f>
        <v/>
      </c>
    </row>
    <row r="14">
      <c r="A14" s="10">
        <f>IF(Справочники!E15="","",Справочники!E15)</f>
        <v/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>
        <f>IF(A14="","",COUNTIF(B14:AF14,"Р")+0.5*COUNTIF(B14:AF14,"П"))</f>
        <v/>
      </c>
    </row>
    <row r="15">
      <c r="A15" s="10">
        <f>IF(Справочники!E16="","",Справочники!E16)</f>
        <v/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>
        <f>IF(A15="","",COUNTIF(B15:AF15,"Р")+0.5*COUNTIF(B15:AF15,"П"))</f>
        <v/>
      </c>
    </row>
    <row r="16">
      <c r="A16" s="10">
        <f>IF(Справочники!E17="","",Справочники!E17)</f>
        <v/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>
        <f>IF(A16="","",COUNTIF(B16:AF16,"Р")+0.5*COUNTIF(B16:AF16,"П"))</f>
        <v/>
      </c>
    </row>
    <row r="17">
      <c r="A17" s="10">
        <f>IF(Справочники!E18="","",Справочники!E18)</f>
        <v/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>
        <f>IF(A17="","",COUNTIF(B17:AF17,"Р")+0.5*COUNTIF(B17:AF17,"П"))</f>
        <v/>
      </c>
    </row>
    <row r="18">
      <c r="A18" s="10">
        <f>IF(Справочники!E19="","",Справочники!E19)</f>
        <v/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>
        <f>IF(A18="","",COUNTIF(B18:AF18,"Р")+0.5*COUNTIF(B18:AF18,"П"))</f>
        <v/>
      </c>
    </row>
    <row r="19">
      <c r="A19" s="10">
        <f>IF(Справочники!E20="","",Справочники!E20)</f>
        <v/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>
        <f>IF(A19="","",COUNTIF(B19:AF19,"Р")+0.5*COUNTIF(B19:AF19,"П"))</f>
        <v/>
      </c>
    </row>
    <row r="20">
      <c r="A20" s="10">
        <f>IF(Справочники!E21="","",Справочники!E21)</f>
        <v/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>
        <f>IF(A20="","",COUNTIF(B20:AF20,"Р")+0.5*COUNTIF(B20:AF20,"П"))</f>
        <v/>
      </c>
    </row>
    <row r="21">
      <c r="A21" s="10">
        <f>IF(Справочники!E22="","",Справочники!E22)</f>
        <v/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>
        <f>IF(A21="","",COUNTIF(B21:AF21,"Р")+0.5*COUNTIF(B21:AF21,"П"))</f>
        <v/>
      </c>
    </row>
    <row r="22">
      <c r="A22" s="10">
        <f>IF(Справочники!E23="","",Справочники!E23)</f>
        <v/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>
        <f>IF(A22="","",COUNTIF(B22:AF22,"Р")+0.5*COUNTIF(B22:AF22,"П"))</f>
        <v/>
      </c>
    </row>
    <row r="23">
      <c r="A23" s="10">
        <f>IF(Справочники!E24="","",Справочники!E24)</f>
        <v/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>
        <f>IF(A23="","",COUNTIF(B23:AF23,"Р")+0.5*COUNTIF(B23:AF23,"П"))</f>
        <v/>
      </c>
    </row>
    <row r="24">
      <c r="A24" s="10">
        <f>IF(Справочники!E25="","",Справочники!E25)</f>
        <v/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>
        <f>IF(A24="","",COUNTIF(B24:AF24,"Р")+0.5*COUNTIF(B24:AF24,"П"))</f>
        <v/>
      </c>
    </row>
    <row r="25">
      <c r="A25" s="10">
        <f>IF(Справочники!E26="","",Справочники!E26)</f>
        <v/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>
        <f>IF(A25="","",COUNTIF(B25:AF25,"Р")+0.5*COUNTIF(B25:AF25,"П"))</f>
        <v/>
      </c>
    </row>
    <row r="26">
      <c r="A26" s="10">
        <f>IF(Справочники!E27="","",Справочники!E27)</f>
        <v/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>
        <f>IF(A26="","",COUNTIF(B26:AF26,"Р")+0.5*COUNTIF(B26:AF26,"П"))</f>
        <v/>
      </c>
    </row>
    <row r="27">
      <c r="A27" s="10">
        <f>IF(Справочники!E28="","",Справочники!E28)</f>
        <v/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>
        <f>IF(A27="","",COUNTIF(B27:AF27,"Р")+0.5*COUNTIF(B27:AF27,"П"))</f>
        <v/>
      </c>
    </row>
    <row r="28">
      <c r="A28" s="10">
        <f>IF(Справочники!E29="","",Справочники!E29)</f>
        <v/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>
        <f>IF(A28="","",COUNTIF(B28:AF28,"Р")+0.5*COUNTIF(B28:AF28,"П"))</f>
        <v/>
      </c>
    </row>
    <row r="29">
      <c r="A29" s="10">
        <f>IF(Справочники!E30="","",Справочники!E30)</f>
        <v/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>
        <f>IF(A29="","",COUNTIF(B29:AF29,"Р")+0.5*COUNTIF(B29:AF29,"П"))</f>
        <v/>
      </c>
    </row>
    <row r="30">
      <c r="A30" s="10">
        <f>IF(Справочники!E31="","",Справочники!E31)</f>
        <v/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>
        <f>IF(A30="","",COUNTIF(B30:AF30,"Р")+0.5*COUNTIF(B30:AF30,"П"))</f>
        <v/>
      </c>
    </row>
    <row r="31">
      <c r="A31" s="10">
        <f>IF(Справочники!E32="","",Справочники!E32)</f>
        <v/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>
        <f>IF(A31="","",COUNTIF(B31:AF31,"Р")+0.5*COUNTIF(B31:AF31,"П"))</f>
        <v/>
      </c>
    </row>
    <row r="32">
      <c r="A32" s="10">
        <f>IF(Справочники!E33="","",Справочники!E33)</f>
        <v/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>
        <f>IF(A32="","",COUNTIF(B32:AF32,"Р")+0.5*COUNTIF(B32:AF32,"П"))</f>
        <v/>
      </c>
    </row>
    <row r="33">
      <c r="A33" s="10">
        <f>IF(Справочники!E34="","",Справочники!E34)</f>
        <v/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>
        <f>IF(A33="","",COUNTIF(B33:AF33,"Р")+0.5*COUNTIF(B33:AF33,"П"))</f>
        <v/>
      </c>
    </row>
  </sheetData>
  <mergeCells count="2">
    <mergeCell ref="A2:L2"/>
    <mergeCell ref="A1:AJ1"/>
  </mergeCells>
  <dataValidations count="1">
    <dataValidation sqref="B4:AF33" showDropDown="0" showInputMessage="0" showErrorMessage="0" allowBlank="1" type="list">
      <formula1>"Р,П,В,Б,О,Н"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1" t="inlineStr">
        <is>
          <t>Зарплата за месяц</t>
        </is>
      </c>
    </row>
    <row r="2">
      <c r="A2" s="5" t="inlineStr">
        <is>
          <t>К выплате = Ставка × Отработано − Авансы. Отработано берётся из листа «Табель».</t>
        </is>
      </c>
    </row>
    <row r="3" ht="30" customHeight="1">
      <c r="A3" s="6" t="inlineStr">
        <is>
          <t>Сотрудник</t>
        </is>
      </c>
      <c r="B3" s="6" t="inlineStr">
        <is>
          <t>Ставка</t>
        </is>
      </c>
      <c r="C3" s="6" t="inlineStr">
        <is>
          <t>Отработано</t>
        </is>
      </c>
      <c r="D3" s="6" t="inlineStr">
        <is>
          <t>Начислено</t>
        </is>
      </c>
      <c r="E3" s="6" t="inlineStr">
        <is>
          <t>Авансы</t>
        </is>
      </c>
      <c r="F3" s="6" t="inlineStr">
        <is>
          <t>К выплате</t>
        </is>
      </c>
    </row>
    <row r="4">
      <c r="A4" s="10">
        <f>IF(Справочники!E5="","",Справочники!E5)</f>
        <v/>
      </c>
      <c r="B4" s="11">
        <f>IF(A4="","",Справочники!H5)</f>
        <v/>
      </c>
      <c r="C4" s="10">
        <f>IF(A4="","",Табель!AG4)</f>
        <v/>
      </c>
      <c r="D4" s="11">
        <f>IF(A4="","",B4*C4)</f>
        <v/>
      </c>
      <c r="E4" s="11" t="n"/>
      <c r="F4" s="11">
        <f>IF(A4="","",MAX(0,D4-E4))</f>
        <v/>
      </c>
    </row>
    <row r="5">
      <c r="A5" s="10">
        <f>IF(Справочники!E6="","",Справочники!E6)</f>
        <v/>
      </c>
      <c r="B5" s="11">
        <f>IF(A5="","",Справочники!H6)</f>
        <v/>
      </c>
      <c r="C5" s="10">
        <f>IF(A5="","",Табель!AG5)</f>
        <v/>
      </c>
      <c r="D5" s="11">
        <f>IF(A5="","",B5*C5)</f>
        <v/>
      </c>
      <c r="E5" s="11" t="n"/>
      <c r="F5" s="11">
        <f>IF(A5="","",MAX(0,D5-E5))</f>
        <v/>
      </c>
    </row>
    <row r="6">
      <c r="A6" s="10">
        <f>IF(Справочники!E7="","",Справочники!E7)</f>
        <v/>
      </c>
      <c r="B6" s="11">
        <f>IF(A6="","",Справочники!H7)</f>
        <v/>
      </c>
      <c r="C6" s="10">
        <f>IF(A6="","",Табель!AG6)</f>
        <v/>
      </c>
      <c r="D6" s="11">
        <f>IF(A6="","",B6*C6)</f>
        <v/>
      </c>
      <c r="E6" s="11" t="n"/>
      <c r="F6" s="11">
        <f>IF(A6="","",MAX(0,D6-E6))</f>
        <v/>
      </c>
    </row>
    <row r="7">
      <c r="A7" s="10">
        <f>IF(Справочники!E8="","",Справочники!E8)</f>
        <v/>
      </c>
      <c r="B7" s="11">
        <f>IF(A7="","",Справочники!H8)</f>
        <v/>
      </c>
      <c r="C7" s="10">
        <f>IF(A7="","",Табель!AG7)</f>
        <v/>
      </c>
      <c r="D7" s="11">
        <f>IF(A7="","",B7*C7)</f>
        <v/>
      </c>
      <c r="E7" s="11" t="n"/>
      <c r="F7" s="11">
        <f>IF(A7="","",MAX(0,D7-E7))</f>
        <v/>
      </c>
    </row>
    <row r="8">
      <c r="A8" s="10">
        <f>IF(Справочники!E9="","",Справочники!E9)</f>
        <v/>
      </c>
      <c r="B8" s="11">
        <f>IF(A8="","",Справочники!H9)</f>
        <v/>
      </c>
      <c r="C8" s="10">
        <f>IF(A8="","",Табель!AG8)</f>
        <v/>
      </c>
      <c r="D8" s="11">
        <f>IF(A8="","",B8*C8)</f>
        <v/>
      </c>
      <c r="E8" s="11" t="n"/>
      <c r="F8" s="11">
        <f>IF(A8="","",MAX(0,D8-E8))</f>
        <v/>
      </c>
    </row>
    <row r="9">
      <c r="A9" s="10">
        <f>IF(Справочники!E10="","",Справочники!E10)</f>
        <v/>
      </c>
      <c r="B9" s="11">
        <f>IF(A9="","",Справочники!H10)</f>
        <v/>
      </c>
      <c r="C9" s="10">
        <f>IF(A9="","",Табель!AG9)</f>
        <v/>
      </c>
      <c r="D9" s="11">
        <f>IF(A9="","",B9*C9)</f>
        <v/>
      </c>
      <c r="E9" s="11" t="n"/>
      <c r="F9" s="11">
        <f>IF(A9="","",MAX(0,D9-E9))</f>
        <v/>
      </c>
    </row>
    <row r="10">
      <c r="A10" s="10">
        <f>IF(Справочники!E11="","",Справочники!E11)</f>
        <v/>
      </c>
      <c r="B10" s="11">
        <f>IF(A10="","",Справочники!H11)</f>
        <v/>
      </c>
      <c r="C10" s="10">
        <f>IF(A10="","",Табель!AG10)</f>
        <v/>
      </c>
      <c r="D10" s="11">
        <f>IF(A10="","",B10*C10)</f>
        <v/>
      </c>
      <c r="E10" s="11" t="n"/>
      <c r="F10" s="11">
        <f>IF(A10="","",MAX(0,D10-E10))</f>
        <v/>
      </c>
    </row>
    <row r="11">
      <c r="A11" s="10">
        <f>IF(Справочники!E12="","",Справочники!E12)</f>
        <v/>
      </c>
      <c r="B11" s="11">
        <f>IF(A11="","",Справочники!H12)</f>
        <v/>
      </c>
      <c r="C11" s="10">
        <f>IF(A11="","",Табель!AG11)</f>
        <v/>
      </c>
      <c r="D11" s="11">
        <f>IF(A11="","",B11*C11)</f>
        <v/>
      </c>
      <c r="E11" s="11" t="n"/>
      <c r="F11" s="11">
        <f>IF(A11="","",MAX(0,D11-E11))</f>
        <v/>
      </c>
    </row>
    <row r="12">
      <c r="A12" s="10">
        <f>IF(Справочники!E13="","",Справочники!E13)</f>
        <v/>
      </c>
      <c r="B12" s="11">
        <f>IF(A12="","",Справочники!H13)</f>
        <v/>
      </c>
      <c r="C12" s="10">
        <f>IF(A12="","",Табель!AG12)</f>
        <v/>
      </c>
      <c r="D12" s="11">
        <f>IF(A12="","",B12*C12)</f>
        <v/>
      </c>
      <c r="E12" s="11" t="n"/>
      <c r="F12" s="11">
        <f>IF(A12="","",MAX(0,D12-E12))</f>
        <v/>
      </c>
    </row>
    <row r="13">
      <c r="A13" s="10">
        <f>IF(Справочники!E14="","",Справочники!E14)</f>
        <v/>
      </c>
      <c r="B13" s="11">
        <f>IF(A13="","",Справочники!H14)</f>
        <v/>
      </c>
      <c r="C13" s="10">
        <f>IF(A13="","",Табель!AG13)</f>
        <v/>
      </c>
      <c r="D13" s="11">
        <f>IF(A13="","",B13*C13)</f>
        <v/>
      </c>
      <c r="E13" s="11" t="n"/>
      <c r="F13" s="11">
        <f>IF(A13="","",MAX(0,D13-E13))</f>
        <v/>
      </c>
    </row>
    <row r="14">
      <c r="A14" s="10">
        <f>IF(Справочники!E15="","",Справочники!E15)</f>
        <v/>
      </c>
      <c r="B14" s="11">
        <f>IF(A14="","",Справочники!H15)</f>
        <v/>
      </c>
      <c r="C14" s="10">
        <f>IF(A14="","",Табель!AG14)</f>
        <v/>
      </c>
      <c r="D14" s="11">
        <f>IF(A14="","",B14*C14)</f>
        <v/>
      </c>
      <c r="E14" s="11" t="n"/>
      <c r="F14" s="11">
        <f>IF(A14="","",MAX(0,D14-E14))</f>
        <v/>
      </c>
    </row>
    <row r="15">
      <c r="A15" s="10">
        <f>IF(Справочники!E16="","",Справочники!E16)</f>
        <v/>
      </c>
      <c r="B15" s="11">
        <f>IF(A15="","",Справочники!H16)</f>
        <v/>
      </c>
      <c r="C15" s="10">
        <f>IF(A15="","",Табель!AG15)</f>
        <v/>
      </c>
      <c r="D15" s="11">
        <f>IF(A15="","",B15*C15)</f>
        <v/>
      </c>
      <c r="E15" s="11" t="n"/>
      <c r="F15" s="11">
        <f>IF(A15="","",MAX(0,D15-E15))</f>
        <v/>
      </c>
    </row>
    <row r="16">
      <c r="A16" s="10">
        <f>IF(Справочники!E17="","",Справочники!E17)</f>
        <v/>
      </c>
      <c r="B16" s="11">
        <f>IF(A16="","",Справочники!H17)</f>
        <v/>
      </c>
      <c r="C16" s="10">
        <f>IF(A16="","",Табель!AG16)</f>
        <v/>
      </c>
      <c r="D16" s="11">
        <f>IF(A16="","",B16*C16)</f>
        <v/>
      </c>
      <c r="E16" s="11" t="n"/>
      <c r="F16" s="11">
        <f>IF(A16="","",MAX(0,D16-E16))</f>
        <v/>
      </c>
    </row>
    <row r="17">
      <c r="A17" s="10">
        <f>IF(Справочники!E18="","",Справочники!E18)</f>
        <v/>
      </c>
      <c r="B17" s="11">
        <f>IF(A17="","",Справочники!H18)</f>
        <v/>
      </c>
      <c r="C17" s="10">
        <f>IF(A17="","",Табель!AG17)</f>
        <v/>
      </c>
      <c r="D17" s="11">
        <f>IF(A17="","",B17*C17)</f>
        <v/>
      </c>
      <c r="E17" s="11" t="n"/>
      <c r="F17" s="11">
        <f>IF(A17="","",MAX(0,D17-E17))</f>
        <v/>
      </c>
    </row>
    <row r="18">
      <c r="A18" s="10">
        <f>IF(Справочники!E19="","",Справочники!E19)</f>
        <v/>
      </c>
      <c r="B18" s="11">
        <f>IF(A18="","",Справочники!H19)</f>
        <v/>
      </c>
      <c r="C18" s="10">
        <f>IF(A18="","",Табель!AG18)</f>
        <v/>
      </c>
      <c r="D18" s="11">
        <f>IF(A18="","",B18*C18)</f>
        <v/>
      </c>
      <c r="E18" s="11" t="n"/>
      <c r="F18" s="11">
        <f>IF(A18="","",MAX(0,D18-E18))</f>
        <v/>
      </c>
    </row>
    <row r="19">
      <c r="A19" s="10">
        <f>IF(Справочники!E20="","",Справочники!E20)</f>
        <v/>
      </c>
      <c r="B19" s="11">
        <f>IF(A19="","",Справочники!H20)</f>
        <v/>
      </c>
      <c r="C19" s="10">
        <f>IF(A19="","",Табель!AG19)</f>
        <v/>
      </c>
      <c r="D19" s="11">
        <f>IF(A19="","",B19*C19)</f>
        <v/>
      </c>
      <c r="E19" s="11" t="n"/>
      <c r="F19" s="11">
        <f>IF(A19="","",MAX(0,D19-E19))</f>
        <v/>
      </c>
    </row>
    <row r="20">
      <c r="A20" s="10">
        <f>IF(Справочники!E21="","",Справочники!E21)</f>
        <v/>
      </c>
      <c r="B20" s="11">
        <f>IF(A20="","",Справочники!H21)</f>
        <v/>
      </c>
      <c r="C20" s="10">
        <f>IF(A20="","",Табель!AG20)</f>
        <v/>
      </c>
      <c r="D20" s="11">
        <f>IF(A20="","",B20*C20)</f>
        <v/>
      </c>
      <c r="E20" s="11" t="n"/>
      <c r="F20" s="11">
        <f>IF(A20="","",MAX(0,D20-E20))</f>
        <v/>
      </c>
    </row>
    <row r="21">
      <c r="A21" s="10">
        <f>IF(Справочники!E22="","",Справочники!E22)</f>
        <v/>
      </c>
      <c r="B21" s="11">
        <f>IF(A21="","",Справочники!H22)</f>
        <v/>
      </c>
      <c r="C21" s="10">
        <f>IF(A21="","",Табель!AG21)</f>
        <v/>
      </c>
      <c r="D21" s="11">
        <f>IF(A21="","",B21*C21)</f>
        <v/>
      </c>
      <c r="E21" s="11" t="n"/>
      <c r="F21" s="11">
        <f>IF(A21="","",MAX(0,D21-E21))</f>
        <v/>
      </c>
    </row>
    <row r="22">
      <c r="A22" s="10">
        <f>IF(Справочники!E23="","",Справочники!E23)</f>
        <v/>
      </c>
      <c r="B22" s="11">
        <f>IF(A22="","",Справочники!H23)</f>
        <v/>
      </c>
      <c r="C22" s="10">
        <f>IF(A22="","",Табель!AG22)</f>
        <v/>
      </c>
      <c r="D22" s="11">
        <f>IF(A22="","",B22*C22)</f>
        <v/>
      </c>
      <c r="E22" s="11" t="n"/>
      <c r="F22" s="11">
        <f>IF(A22="","",MAX(0,D22-E22))</f>
        <v/>
      </c>
    </row>
    <row r="23">
      <c r="A23" s="10">
        <f>IF(Справочники!E24="","",Справочники!E24)</f>
        <v/>
      </c>
      <c r="B23" s="11">
        <f>IF(A23="","",Справочники!H24)</f>
        <v/>
      </c>
      <c r="C23" s="10">
        <f>IF(A23="","",Табель!AG23)</f>
        <v/>
      </c>
      <c r="D23" s="11">
        <f>IF(A23="","",B23*C23)</f>
        <v/>
      </c>
      <c r="E23" s="11" t="n"/>
      <c r="F23" s="11">
        <f>IF(A23="","",MAX(0,D23-E23))</f>
        <v/>
      </c>
    </row>
    <row r="24">
      <c r="A24" s="10">
        <f>IF(Справочники!E25="","",Справочники!E25)</f>
        <v/>
      </c>
      <c r="B24" s="11">
        <f>IF(A24="","",Справочники!H25)</f>
        <v/>
      </c>
      <c r="C24" s="10">
        <f>IF(A24="","",Табель!AG24)</f>
        <v/>
      </c>
      <c r="D24" s="11">
        <f>IF(A24="","",B24*C24)</f>
        <v/>
      </c>
      <c r="E24" s="11" t="n"/>
      <c r="F24" s="11">
        <f>IF(A24="","",MAX(0,D24-E24))</f>
        <v/>
      </c>
    </row>
    <row r="25">
      <c r="A25" s="10">
        <f>IF(Справочники!E26="","",Справочники!E26)</f>
        <v/>
      </c>
      <c r="B25" s="11">
        <f>IF(A25="","",Справочники!H26)</f>
        <v/>
      </c>
      <c r="C25" s="10">
        <f>IF(A25="","",Табель!AG25)</f>
        <v/>
      </c>
      <c r="D25" s="11">
        <f>IF(A25="","",B25*C25)</f>
        <v/>
      </c>
      <c r="E25" s="11" t="n"/>
      <c r="F25" s="11">
        <f>IF(A25="","",MAX(0,D25-E25))</f>
        <v/>
      </c>
    </row>
    <row r="26">
      <c r="A26" s="10">
        <f>IF(Справочники!E27="","",Справочники!E27)</f>
        <v/>
      </c>
      <c r="B26" s="11">
        <f>IF(A26="","",Справочники!H27)</f>
        <v/>
      </c>
      <c r="C26" s="10">
        <f>IF(A26="","",Табель!AG26)</f>
        <v/>
      </c>
      <c r="D26" s="11">
        <f>IF(A26="","",B26*C26)</f>
        <v/>
      </c>
      <c r="E26" s="11" t="n"/>
      <c r="F26" s="11">
        <f>IF(A26="","",MAX(0,D26-E26))</f>
        <v/>
      </c>
    </row>
    <row r="27">
      <c r="A27" s="10">
        <f>IF(Справочники!E28="","",Справочники!E28)</f>
        <v/>
      </c>
      <c r="B27" s="11">
        <f>IF(A27="","",Справочники!H28)</f>
        <v/>
      </c>
      <c r="C27" s="10">
        <f>IF(A27="","",Табель!AG27)</f>
        <v/>
      </c>
      <c r="D27" s="11">
        <f>IF(A27="","",B27*C27)</f>
        <v/>
      </c>
      <c r="E27" s="11" t="n"/>
      <c r="F27" s="11">
        <f>IF(A27="","",MAX(0,D27-E27))</f>
        <v/>
      </c>
    </row>
    <row r="28">
      <c r="A28" s="10">
        <f>IF(Справочники!E29="","",Справочники!E29)</f>
        <v/>
      </c>
      <c r="B28" s="11">
        <f>IF(A28="","",Справочники!H29)</f>
        <v/>
      </c>
      <c r="C28" s="10">
        <f>IF(A28="","",Табель!AG28)</f>
        <v/>
      </c>
      <c r="D28" s="11">
        <f>IF(A28="","",B28*C28)</f>
        <v/>
      </c>
      <c r="E28" s="11" t="n"/>
      <c r="F28" s="11">
        <f>IF(A28="","",MAX(0,D28-E28))</f>
        <v/>
      </c>
    </row>
    <row r="29">
      <c r="A29" s="10">
        <f>IF(Справочники!E30="","",Справочники!E30)</f>
        <v/>
      </c>
      <c r="B29" s="11">
        <f>IF(A29="","",Справочники!H30)</f>
        <v/>
      </c>
      <c r="C29" s="10">
        <f>IF(A29="","",Табель!AG29)</f>
        <v/>
      </c>
      <c r="D29" s="11">
        <f>IF(A29="","",B29*C29)</f>
        <v/>
      </c>
      <c r="E29" s="11" t="n"/>
      <c r="F29" s="11">
        <f>IF(A29="","",MAX(0,D29-E29))</f>
        <v/>
      </c>
    </row>
    <row r="30">
      <c r="A30" s="10">
        <f>IF(Справочники!E31="","",Справочники!E31)</f>
        <v/>
      </c>
      <c r="B30" s="11">
        <f>IF(A30="","",Справочники!H31)</f>
        <v/>
      </c>
      <c r="C30" s="10">
        <f>IF(A30="","",Табель!AG30)</f>
        <v/>
      </c>
      <c r="D30" s="11">
        <f>IF(A30="","",B30*C30)</f>
        <v/>
      </c>
      <c r="E30" s="11" t="n"/>
      <c r="F30" s="11">
        <f>IF(A30="","",MAX(0,D30-E30))</f>
        <v/>
      </c>
    </row>
    <row r="31">
      <c r="A31" s="10">
        <f>IF(Справочники!E32="","",Справочники!E32)</f>
        <v/>
      </c>
      <c r="B31" s="11">
        <f>IF(A31="","",Справочники!H32)</f>
        <v/>
      </c>
      <c r="C31" s="10">
        <f>IF(A31="","",Табель!AG31)</f>
        <v/>
      </c>
      <c r="D31" s="11">
        <f>IF(A31="","",B31*C31)</f>
        <v/>
      </c>
      <c r="E31" s="11" t="n"/>
      <c r="F31" s="11">
        <f>IF(A31="","",MAX(0,D31-E31))</f>
        <v/>
      </c>
    </row>
    <row r="32">
      <c r="A32" s="10">
        <f>IF(Справочники!E33="","",Справочники!E33)</f>
        <v/>
      </c>
      <c r="B32" s="11">
        <f>IF(A32="","",Справочники!H33)</f>
        <v/>
      </c>
      <c r="C32" s="10">
        <f>IF(A32="","",Табель!AG32)</f>
        <v/>
      </c>
      <c r="D32" s="11">
        <f>IF(A32="","",B32*C32)</f>
        <v/>
      </c>
      <c r="E32" s="11" t="n"/>
      <c r="F32" s="11">
        <f>IF(A32="","",MAX(0,D32-E32))</f>
        <v/>
      </c>
    </row>
    <row r="33">
      <c r="A33" s="10">
        <f>IF(Справочники!E34="","",Справочники!E34)</f>
        <v/>
      </c>
      <c r="B33" s="11">
        <f>IF(A33="","",Справочники!H34)</f>
        <v/>
      </c>
      <c r="C33" s="10">
        <f>IF(A33="","",Табель!AG33)</f>
        <v/>
      </c>
      <c r="D33" s="11">
        <f>IF(A33="","",B33*C33)</f>
        <v/>
      </c>
      <c r="E33" s="11" t="n"/>
      <c r="F33" s="11">
        <f>IF(A33="","",MAX(0,D33-E33))</f>
        <v/>
      </c>
    </row>
    <row r="34">
      <c r="A34" s="12" t="inlineStr">
        <is>
          <t>ИТОГО к выплате</t>
        </is>
      </c>
      <c r="B34" s="10" t="n"/>
      <c r="C34" s="10" t="n"/>
      <c r="D34" s="10" t="n"/>
      <c r="E34" s="10" t="n"/>
      <c r="F34" s="16">
        <f>SUM(F4:F33)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" t="inlineStr">
        <is>
          <t>Накопления на постоянные расходы</t>
        </is>
      </c>
    </row>
    <row r="2">
      <c r="A2" s="5" t="inlineStr">
        <is>
          <t>Откладывать в день = (План − Отложено) / Дней до конца месяца. План берётся из «Справочников».</t>
        </is>
      </c>
    </row>
    <row r="3" ht="30" customHeight="1">
      <c r="A3" s="6" t="inlineStr">
        <is>
          <t>Статья</t>
        </is>
      </c>
      <c r="B3" s="6" t="inlineStr">
        <is>
          <t>План в месяц</t>
        </is>
      </c>
      <c r="C3" s="6" t="inlineStr">
        <is>
          <t>Отложено</t>
        </is>
      </c>
      <c r="D3" s="6" t="inlineStr">
        <is>
          <t>Осталось</t>
        </is>
      </c>
      <c r="E3" s="6" t="inlineStr">
        <is>
          <t>Дней до конца</t>
        </is>
      </c>
      <c r="F3" s="6" t="inlineStr">
        <is>
          <t>В день</t>
        </is>
      </c>
    </row>
    <row r="4">
      <c r="A4" s="10">
        <f>IF(Справочники!J5="","",Справочники!J5)</f>
        <v/>
      </c>
      <c r="B4" s="11">
        <f>IF(A4="","",Справочники!K5)</f>
        <v/>
      </c>
      <c r="C4" s="11" t="n"/>
      <c r="D4" s="11">
        <f>IF(A4="","",B4-C4)</f>
        <v/>
      </c>
      <c r="E4" s="10" t="n"/>
      <c r="F4" s="11">
        <f>IF(OR(A4="",E4=0),"",MAX(0,D4)/E4)</f>
        <v/>
      </c>
    </row>
    <row r="5">
      <c r="A5" s="10">
        <f>IF(Справочники!J6="","",Справочники!J6)</f>
        <v/>
      </c>
      <c r="B5" s="11">
        <f>IF(A5="","",Справочники!K6)</f>
        <v/>
      </c>
      <c r="C5" s="11" t="n"/>
      <c r="D5" s="11">
        <f>IF(A5="","",B5-C5)</f>
        <v/>
      </c>
      <c r="E5" s="10" t="n"/>
      <c r="F5" s="11">
        <f>IF(OR(A5="",E5=0),"",MAX(0,D5)/E5)</f>
        <v/>
      </c>
    </row>
    <row r="6">
      <c r="A6" s="10">
        <f>IF(Справочники!J7="","",Справочники!J7)</f>
        <v/>
      </c>
      <c r="B6" s="11">
        <f>IF(A6="","",Справочники!K7)</f>
        <v/>
      </c>
      <c r="C6" s="11" t="n"/>
      <c r="D6" s="11">
        <f>IF(A6="","",B6-C6)</f>
        <v/>
      </c>
      <c r="E6" s="10" t="n"/>
      <c r="F6" s="11">
        <f>IF(OR(A6="",E6=0),"",MAX(0,D6)/E6)</f>
        <v/>
      </c>
    </row>
    <row r="7">
      <c r="A7" s="10">
        <f>IF(Справочники!J8="","",Справочники!J8)</f>
        <v/>
      </c>
      <c r="B7" s="11">
        <f>IF(A7="","",Справочники!K8)</f>
        <v/>
      </c>
      <c r="C7" s="11" t="n"/>
      <c r="D7" s="11">
        <f>IF(A7="","",B7-C7)</f>
        <v/>
      </c>
      <c r="E7" s="10" t="n"/>
      <c r="F7" s="11">
        <f>IF(OR(A7="",E7=0),"",MAX(0,D7)/E7)</f>
        <v/>
      </c>
    </row>
    <row r="8">
      <c r="A8" s="10">
        <f>IF(Справочники!J9="","",Справочники!J9)</f>
        <v/>
      </c>
      <c r="B8" s="11">
        <f>IF(A8="","",Справочники!K9)</f>
        <v/>
      </c>
      <c r="C8" s="11" t="n"/>
      <c r="D8" s="11">
        <f>IF(A8="","",B8-C8)</f>
        <v/>
      </c>
      <c r="E8" s="10" t="n"/>
      <c r="F8" s="11">
        <f>IF(OR(A8="",E8=0),"",MAX(0,D8)/E8)</f>
        <v/>
      </c>
    </row>
    <row r="9">
      <c r="A9" s="10">
        <f>IF(Справочники!J10="","",Справочники!J10)</f>
        <v/>
      </c>
      <c r="B9" s="11">
        <f>IF(A9="","",Справочники!K10)</f>
        <v/>
      </c>
      <c r="C9" s="11" t="n"/>
      <c r="D9" s="11">
        <f>IF(A9="","",B9-C9)</f>
        <v/>
      </c>
      <c r="E9" s="10" t="n"/>
      <c r="F9" s="11">
        <f>IF(OR(A9="",E9=0),"",MAX(0,D9)/E9)</f>
        <v/>
      </c>
    </row>
    <row r="10">
      <c r="A10" s="10">
        <f>IF(Справочники!J11="","",Справочники!J11)</f>
        <v/>
      </c>
      <c r="B10" s="11">
        <f>IF(A10="","",Справочники!K11)</f>
        <v/>
      </c>
      <c r="C10" s="11" t="n"/>
      <c r="D10" s="11">
        <f>IF(A10="","",B10-C10)</f>
        <v/>
      </c>
      <c r="E10" s="10" t="n"/>
      <c r="F10" s="11">
        <f>IF(OR(A10="",E10=0),"",MAX(0,D10)/E10)</f>
        <v/>
      </c>
    </row>
    <row r="11">
      <c r="A11" s="10">
        <f>IF(Справочники!J12="","",Справочники!J12)</f>
        <v/>
      </c>
      <c r="B11" s="11">
        <f>IF(A11="","",Справочники!K12)</f>
        <v/>
      </c>
      <c r="C11" s="11" t="n"/>
      <c r="D11" s="11">
        <f>IF(A11="","",B11-C11)</f>
        <v/>
      </c>
      <c r="E11" s="10" t="n"/>
      <c r="F11" s="11">
        <f>IF(OR(A11="",E11=0),"",MAX(0,D11)/E11)</f>
        <v/>
      </c>
    </row>
    <row r="12">
      <c r="A12" s="10">
        <f>IF(Справочники!J13="","",Справочники!J13)</f>
        <v/>
      </c>
      <c r="B12" s="11">
        <f>IF(A12="","",Справочники!K13)</f>
        <v/>
      </c>
      <c r="C12" s="11" t="n"/>
      <c r="D12" s="11">
        <f>IF(A12="","",B12-C12)</f>
        <v/>
      </c>
      <c r="E12" s="10" t="n"/>
      <c r="F12" s="11">
        <f>IF(OR(A12="",E12=0),"",MAX(0,D12)/E12)</f>
        <v/>
      </c>
    </row>
    <row r="13">
      <c r="A13" s="10">
        <f>IF(Справочники!J14="","",Справочники!J14)</f>
        <v/>
      </c>
      <c r="B13" s="11">
        <f>IF(A13="","",Справочники!K14)</f>
        <v/>
      </c>
      <c r="C13" s="11" t="n"/>
      <c r="D13" s="11">
        <f>IF(A13="","",B13-C13)</f>
        <v/>
      </c>
      <c r="E13" s="10" t="n"/>
      <c r="F13" s="11">
        <f>IF(OR(A13="",E13=0),"",MAX(0,D13)/E13)</f>
        <v/>
      </c>
    </row>
    <row r="14">
      <c r="A14" s="10">
        <f>IF(Справочники!J15="","",Справочники!J15)</f>
        <v/>
      </c>
      <c r="B14" s="11">
        <f>IF(A14="","",Справочники!K15)</f>
        <v/>
      </c>
      <c r="C14" s="11" t="n"/>
      <c r="D14" s="11">
        <f>IF(A14="","",B14-C14)</f>
        <v/>
      </c>
      <c r="E14" s="10" t="n"/>
      <c r="F14" s="11">
        <f>IF(OR(A14="",E14=0),"",MAX(0,D14)/E14)</f>
        <v/>
      </c>
    </row>
    <row r="15">
      <c r="A15" s="10">
        <f>IF(Справочники!J16="","",Справочники!J16)</f>
        <v/>
      </c>
      <c r="B15" s="11">
        <f>IF(A15="","",Справочники!K16)</f>
        <v/>
      </c>
      <c r="C15" s="11" t="n"/>
      <c r="D15" s="11">
        <f>IF(A15="","",B15-C15)</f>
        <v/>
      </c>
      <c r="E15" s="10" t="n"/>
      <c r="F15" s="11">
        <f>IF(OR(A15="",E15=0),"",MAX(0,D15)/E15)</f>
        <v/>
      </c>
    </row>
    <row r="16">
      <c r="A16" s="10">
        <f>IF(Справочники!J17="","",Справочники!J17)</f>
        <v/>
      </c>
      <c r="B16" s="11">
        <f>IF(A16="","",Справочники!K17)</f>
        <v/>
      </c>
      <c r="C16" s="11" t="n"/>
      <c r="D16" s="11">
        <f>IF(A16="","",B16-C16)</f>
        <v/>
      </c>
      <c r="E16" s="10" t="n"/>
      <c r="F16" s="11">
        <f>IF(OR(A16="",E16=0),"",MAX(0,D16)/E16)</f>
        <v/>
      </c>
    </row>
    <row r="17">
      <c r="A17" s="10">
        <f>IF(Справочники!J18="","",Справочники!J18)</f>
        <v/>
      </c>
      <c r="B17" s="11">
        <f>IF(A17="","",Справочники!K18)</f>
        <v/>
      </c>
      <c r="C17" s="11" t="n"/>
      <c r="D17" s="11">
        <f>IF(A17="","",B17-C17)</f>
        <v/>
      </c>
      <c r="E17" s="10" t="n"/>
      <c r="F17" s="11">
        <f>IF(OR(A17="",E17=0),"",MAX(0,D17)/E17)</f>
        <v/>
      </c>
    </row>
    <row r="18">
      <c r="A18" s="10">
        <f>IF(Справочники!J19="","",Справочники!J19)</f>
        <v/>
      </c>
      <c r="B18" s="11">
        <f>IF(A18="","",Справочники!K19)</f>
        <v/>
      </c>
      <c r="C18" s="11" t="n"/>
      <c r="D18" s="11">
        <f>IF(A18="","",B18-C18)</f>
        <v/>
      </c>
      <c r="E18" s="10" t="n"/>
      <c r="F18" s="11">
        <f>IF(OR(A18="",E18=0),"",MAX(0,D18)/E18)</f>
        <v/>
      </c>
    </row>
    <row r="19">
      <c r="A19" s="10">
        <f>IF(Справочники!J20="","",Справочники!J20)</f>
        <v/>
      </c>
      <c r="B19" s="11">
        <f>IF(A19="","",Справочники!K20)</f>
        <v/>
      </c>
      <c r="C19" s="11" t="n"/>
      <c r="D19" s="11">
        <f>IF(A19="","",B19-C19)</f>
        <v/>
      </c>
      <c r="E19" s="10" t="n"/>
      <c r="F19" s="11">
        <f>IF(OR(A19="",E19=0),"",MAX(0,D19)/E19)</f>
        <v/>
      </c>
    </row>
    <row r="20">
      <c r="A20" s="10">
        <f>IF(Справочники!J21="","",Справочники!J21)</f>
        <v/>
      </c>
      <c r="B20" s="11">
        <f>IF(A20="","",Справочники!K21)</f>
        <v/>
      </c>
      <c r="C20" s="11" t="n"/>
      <c r="D20" s="11">
        <f>IF(A20="","",B20-C20)</f>
        <v/>
      </c>
      <c r="E20" s="10" t="n"/>
      <c r="F20" s="11">
        <f>IF(OR(A20="",E20=0),"",MAX(0,D20)/E20)</f>
        <v/>
      </c>
    </row>
    <row r="21">
      <c r="A21" s="10">
        <f>IF(Справочники!J22="","",Справочники!J22)</f>
        <v/>
      </c>
      <c r="B21" s="11">
        <f>IF(A21="","",Справочники!K22)</f>
        <v/>
      </c>
      <c r="C21" s="11" t="n"/>
      <c r="D21" s="11">
        <f>IF(A21="","",B21-C21)</f>
        <v/>
      </c>
      <c r="E21" s="10" t="n"/>
      <c r="F21" s="11">
        <f>IF(OR(A21="",E21=0),"",MAX(0,D21)/E21)</f>
        <v/>
      </c>
    </row>
    <row r="22">
      <c r="A22" s="10">
        <f>IF(Справочники!J23="","",Справочники!J23)</f>
        <v/>
      </c>
      <c r="B22" s="11">
        <f>IF(A22="","",Справочники!K23)</f>
        <v/>
      </c>
      <c r="C22" s="11" t="n"/>
      <c r="D22" s="11">
        <f>IF(A22="","",B22-C22)</f>
        <v/>
      </c>
      <c r="E22" s="10" t="n"/>
      <c r="F22" s="11">
        <f>IF(OR(A22="",E22=0),"",MAX(0,D22)/E22)</f>
        <v/>
      </c>
    </row>
    <row r="23">
      <c r="A23" s="10">
        <f>IF(Справочники!J24="","",Справочники!J24)</f>
        <v/>
      </c>
      <c r="B23" s="11">
        <f>IF(A23="","",Справочники!K24)</f>
        <v/>
      </c>
      <c r="C23" s="11" t="n"/>
      <c r="D23" s="11">
        <f>IF(A23="","",B23-C23)</f>
        <v/>
      </c>
      <c r="E23" s="10" t="n"/>
      <c r="F23" s="11">
        <f>IF(OR(A23="",E23=0),"",MAX(0,D23)/E23)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1" t="inlineStr">
        <is>
          <t>Цели владельца</t>
        </is>
      </c>
    </row>
    <row r="3" ht="30" customHeight="1">
      <c r="A3" s="6" t="inlineStr">
        <is>
          <t>Цель</t>
        </is>
      </c>
      <c r="B3" s="6" t="inlineStr">
        <is>
          <t>Тип</t>
        </is>
      </c>
      <c r="C3" s="6" t="inlineStr">
        <is>
          <t>План</t>
        </is>
      </c>
      <c r="D3" s="6" t="inlineStr">
        <is>
          <t>Факт</t>
        </is>
      </c>
      <c r="E3" s="6" t="inlineStr">
        <is>
          <t>Прогресс</t>
        </is>
      </c>
      <c r="F3" s="6" t="inlineStr">
        <is>
          <t>Осталось</t>
        </is>
      </c>
    </row>
    <row r="4">
      <c r="A4" s="10" t="n"/>
      <c r="B4" s="10" t="n"/>
      <c r="C4" s="11" t="n"/>
      <c r="D4" s="11" t="n"/>
      <c r="E4" s="13">
        <f>IF(C4=0,"",D4/C4)</f>
        <v/>
      </c>
      <c r="F4" s="11">
        <f>IF(C4="","",C4-D4)</f>
        <v/>
      </c>
    </row>
    <row r="5">
      <c r="A5" s="10" t="n"/>
      <c r="B5" s="10" t="n"/>
      <c r="C5" s="11" t="n"/>
      <c r="D5" s="11" t="n"/>
      <c r="E5" s="13">
        <f>IF(C5=0,"",D5/C5)</f>
        <v/>
      </c>
      <c r="F5" s="11">
        <f>IF(C5="","",C5-D5)</f>
        <v/>
      </c>
    </row>
    <row r="6">
      <c r="A6" s="10" t="n"/>
      <c r="B6" s="10" t="n"/>
      <c r="C6" s="11" t="n"/>
      <c r="D6" s="11" t="n"/>
      <c r="E6" s="13">
        <f>IF(C6=0,"",D6/C6)</f>
        <v/>
      </c>
      <c r="F6" s="11">
        <f>IF(C6="","",C6-D6)</f>
        <v/>
      </c>
    </row>
    <row r="7">
      <c r="A7" s="10" t="n"/>
      <c r="B7" s="10" t="n"/>
      <c r="C7" s="11" t="n"/>
      <c r="D7" s="11" t="n"/>
      <c r="E7" s="13">
        <f>IF(C7=0,"",D7/C7)</f>
        <v/>
      </c>
      <c r="F7" s="11">
        <f>IF(C7="","",C7-D7)</f>
        <v/>
      </c>
    </row>
    <row r="8">
      <c r="A8" s="10" t="n"/>
      <c r="B8" s="10" t="n"/>
      <c r="C8" s="11" t="n"/>
      <c r="D8" s="11" t="n"/>
      <c r="E8" s="13">
        <f>IF(C8=0,"",D8/C8)</f>
        <v/>
      </c>
      <c r="F8" s="11">
        <f>IF(C8="","",C8-D8)</f>
        <v/>
      </c>
    </row>
    <row r="9">
      <c r="A9" s="10" t="n"/>
      <c r="B9" s="10" t="n"/>
      <c r="C9" s="11" t="n"/>
      <c r="D9" s="11" t="n"/>
      <c r="E9" s="13">
        <f>IF(C9=0,"",D9/C9)</f>
        <v/>
      </c>
      <c r="F9" s="11">
        <f>IF(C9="","",C9-D9)</f>
        <v/>
      </c>
    </row>
    <row r="10">
      <c r="A10" s="10" t="n"/>
      <c r="B10" s="10" t="n"/>
      <c r="C10" s="11" t="n"/>
      <c r="D10" s="11" t="n"/>
      <c r="E10" s="13">
        <f>IF(C10=0,"",D10/C10)</f>
        <v/>
      </c>
      <c r="F10" s="11">
        <f>IF(C10="","",C10-D10)</f>
        <v/>
      </c>
    </row>
    <row r="11">
      <c r="A11" s="10" t="n"/>
      <c r="B11" s="10" t="n"/>
      <c r="C11" s="11" t="n"/>
      <c r="D11" s="11" t="n"/>
      <c r="E11" s="13">
        <f>IF(C11=0,"",D11/C11)</f>
        <v/>
      </c>
      <c r="F11" s="11">
        <f>IF(C11="","",C11-D11)</f>
        <v/>
      </c>
    </row>
    <row r="12">
      <c r="A12" s="10" t="n"/>
      <c r="B12" s="10" t="n"/>
      <c r="C12" s="11" t="n"/>
      <c r="D12" s="11" t="n"/>
      <c r="E12" s="13">
        <f>IF(C12=0,"",D12/C12)</f>
        <v/>
      </c>
      <c r="F12" s="11">
        <f>IF(C12="","",C12-D12)</f>
        <v/>
      </c>
    </row>
    <row r="13">
      <c r="A13" s="10" t="n"/>
      <c r="B13" s="10" t="n"/>
      <c r="C13" s="11" t="n"/>
      <c r="D13" s="11" t="n"/>
      <c r="E13" s="13">
        <f>IF(C13=0,"",D13/C13)</f>
        <v/>
      </c>
      <c r="F13" s="11">
        <f>IF(C13="","",C13-D13)</f>
        <v/>
      </c>
    </row>
    <row r="14">
      <c r="A14" s="10" t="n"/>
      <c r="B14" s="10" t="n"/>
      <c r="C14" s="11" t="n"/>
      <c r="D14" s="11" t="n"/>
      <c r="E14" s="13">
        <f>IF(C14=0,"",D14/C14)</f>
        <v/>
      </c>
      <c r="F14" s="11">
        <f>IF(C14="","",C14-D14)</f>
        <v/>
      </c>
    </row>
    <row r="15">
      <c r="A15" s="10" t="n"/>
      <c r="B15" s="10" t="n"/>
      <c r="C15" s="11" t="n"/>
      <c r="D15" s="11" t="n"/>
      <c r="E15" s="13">
        <f>IF(C15=0,"",D15/C15)</f>
        <v/>
      </c>
      <c r="F15" s="11">
        <f>IF(C15="","",C15-D15)</f>
        <v/>
      </c>
    </row>
    <row r="16">
      <c r="A16" s="10" t="n"/>
      <c r="B16" s="10" t="n"/>
      <c r="C16" s="11" t="n"/>
      <c r="D16" s="11" t="n"/>
      <c r="E16" s="13">
        <f>IF(C16=0,"",D16/C16)</f>
        <v/>
      </c>
      <c r="F16" s="11">
        <f>IF(C16="","",C16-D16)</f>
        <v/>
      </c>
    </row>
    <row r="17">
      <c r="A17" s="10" t="n"/>
      <c r="B17" s="10" t="n"/>
      <c r="C17" s="11" t="n"/>
      <c r="D17" s="11" t="n"/>
      <c r="E17" s="13">
        <f>IF(C17=0,"",D17/C17)</f>
        <v/>
      </c>
      <c r="F17" s="11">
        <f>IF(C17="","",C17-D17)</f>
        <v/>
      </c>
    </row>
    <row r="18">
      <c r="A18" s="10" t="n"/>
      <c r="B18" s="10" t="n"/>
      <c r="C18" s="11" t="n"/>
      <c r="D18" s="11" t="n"/>
      <c r="E18" s="13">
        <f>IF(C18=0,"",D18/C18)</f>
        <v/>
      </c>
      <c r="F18" s="11">
        <f>IF(C18="","",C18-D18)</f>
        <v/>
      </c>
    </row>
    <row r="19">
      <c r="A19" s="10" t="n"/>
      <c r="B19" s="10" t="n"/>
      <c r="C19" s="11" t="n"/>
      <c r="D19" s="11" t="n"/>
      <c r="E19" s="13">
        <f>IF(C19=0,"",D19/C19)</f>
        <v/>
      </c>
      <c r="F19" s="11">
        <f>IF(C19="","",C19-D19)</f>
        <v/>
      </c>
    </row>
    <row r="20">
      <c r="A20" s="10" t="n"/>
      <c r="B20" s="10" t="n"/>
      <c r="C20" s="11" t="n"/>
      <c r="D20" s="11" t="n"/>
      <c r="E20" s="13">
        <f>IF(C20=0,"",D20/C20)</f>
        <v/>
      </c>
      <c r="F20" s="11">
        <f>IF(C20="","",C20-D20)</f>
        <v/>
      </c>
    </row>
    <row r="21">
      <c r="A21" s="10" t="n"/>
      <c r="B21" s="10" t="n"/>
      <c r="C21" s="11" t="n"/>
      <c r="D21" s="11" t="n"/>
      <c r="E21" s="13">
        <f>IF(C21=0,"",D21/C21)</f>
        <v/>
      </c>
      <c r="F21" s="11">
        <f>IF(C21="","",C21-D21)</f>
        <v/>
      </c>
    </row>
    <row r="22">
      <c r="A22" s="10" t="n"/>
      <c r="B22" s="10" t="n"/>
      <c r="C22" s="11" t="n"/>
      <c r="D22" s="11" t="n"/>
      <c r="E22" s="13">
        <f>IF(C22=0,"",D22/C22)</f>
        <v/>
      </c>
      <c r="F22" s="11">
        <f>IF(C22="","",C22-D22)</f>
        <v/>
      </c>
    </row>
    <row r="23">
      <c r="A23" s="10" t="n"/>
      <c r="B23" s="10" t="n"/>
      <c r="C23" s="11" t="n"/>
      <c r="D23" s="11" t="n"/>
      <c r="E23" s="13">
        <f>IF(C23=0,"",D23/C23)</f>
        <v/>
      </c>
      <c r="F23" s="11">
        <f>IF(C23="","",C23-D23)</f>
        <v/>
      </c>
    </row>
  </sheetData>
  <mergeCells count="1">
    <mergeCell ref="A1:F1"/>
  </mergeCells>
  <dataValidations count="1">
    <dataValidation sqref="B4:B23" showDropDown="0" showInputMessage="0" showErrorMessage="0" allowBlank="1" type="list">
      <formula1>"Выручка,Расходы,Прибыль,Долг,Накопления"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4" customWidth="1" min="4" max="4"/>
  </cols>
  <sheetData>
    <row r="1" ht="28" customHeight="1">
      <c r="A1" s="1" t="inlineStr">
        <is>
          <t>Прочие расходы и списания</t>
        </is>
      </c>
    </row>
    <row r="3" ht="30" customHeight="1">
      <c r="A3" s="6" t="inlineStr">
        <is>
          <t>Дата</t>
        </is>
      </c>
      <c r="B3" s="6" t="inlineStr">
        <is>
          <t>Категория</t>
        </is>
      </c>
      <c r="C3" s="6" t="inlineStr">
        <is>
          <t>Сумма</t>
        </is>
      </c>
      <c r="D3" s="6" t="inlineStr">
        <is>
          <t>Комментарий</t>
        </is>
      </c>
    </row>
    <row r="4">
      <c r="A4" s="10" t="n"/>
      <c r="B4" s="10" t="n"/>
      <c r="C4" s="11" t="n"/>
      <c r="D4" s="10" t="n"/>
    </row>
    <row r="5">
      <c r="A5" s="10" t="n"/>
      <c r="B5" s="10" t="n"/>
      <c r="C5" s="11" t="n"/>
      <c r="D5" s="10" t="n"/>
    </row>
    <row r="6">
      <c r="A6" s="10" t="n"/>
      <c r="B6" s="10" t="n"/>
      <c r="C6" s="11" t="n"/>
      <c r="D6" s="10" t="n"/>
    </row>
    <row r="7">
      <c r="A7" s="10" t="n"/>
      <c r="B7" s="10" t="n"/>
      <c r="C7" s="11" t="n"/>
      <c r="D7" s="10" t="n"/>
    </row>
    <row r="8">
      <c r="A8" s="10" t="n"/>
      <c r="B8" s="10" t="n"/>
      <c r="C8" s="11" t="n"/>
      <c r="D8" s="10" t="n"/>
    </row>
    <row r="9">
      <c r="A9" s="10" t="n"/>
      <c r="B9" s="10" t="n"/>
      <c r="C9" s="11" t="n"/>
      <c r="D9" s="10" t="n"/>
    </row>
    <row r="10">
      <c r="A10" s="10" t="n"/>
      <c r="B10" s="10" t="n"/>
      <c r="C10" s="11" t="n"/>
      <c r="D10" s="10" t="n"/>
    </row>
    <row r="11">
      <c r="A11" s="10" t="n"/>
      <c r="B11" s="10" t="n"/>
      <c r="C11" s="11" t="n"/>
      <c r="D11" s="10" t="n"/>
    </row>
    <row r="12">
      <c r="A12" s="10" t="n"/>
      <c r="B12" s="10" t="n"/>
      <c r="C12" s="11" t="n"/>
      <c r="D12" s="10" t="n"/>
    </row>
    <row r="13">
      <c r="A13" s="10" t="n"/>
      <c r="B13" s="10" t="n"/>
      <c r="C13" s="11" t="n"/>
      <c r="D13" s="10" t="n"/>
    </row>
    <row r="14">
      <c r="A14" s="10" t="n"/>
      <c r="B14" s="10" t="n"/>
      <c r="C14" s="11" t="n"/>
      <c r="D14" s="10" t="n"/>
    </row>
    <row r="15">
      <c r="A15" s="10" t="n"/>
      <c r="B15" s="10" t="n"/>
      <c r="C15" s="11" t="n"/>
      <c r="D15" s="10" t="n"/>
    </row>
    <row r="16">
      <c r="A16" s="10" t="n"/>
      <c r="B16" s="10" t="n"/>
      <c r="C16" s="11" t="n"/>
      <c r="D16" s="10" t="n"/>
    </row>
    <row r="17">
      <c r="A17" s="10" t="n"/>
      <c r="B17" s="10" t="n"/>
      <c r="C17" s="11" t="n"/>
      <c r="D17" s="10" t="n"/>
    </row>
    <row r="18">
      <c r="A18" s="10" t="n"/>
      <c r="B18" s="10" t="n"/>
      <c r="C18" s="11" t="n"/>
      <c r="D18" s="10" t="n"/>
    </row>
    <row r="19">
      <c r="A19" s="10" t="n"/>
      <c r="B19" s="10" t="n"/>
      <c r="C19" s="11" t="n"/>
      <c r="D19" s="10" t="n"/>
    </row>
    <row r="20">
      <c r="A20" s="10" t="n"/>
      <c r="B20" s="10" t="n"/>
      <c r="C20" s="11" t="n"/>
      <c r="D20" s="10" t="n"/>
    </row>
    <row r="21">
      <c r="A21" s="10" t="n"/>
      <c r="B21" s="10" t="n"/>
      <c r="C21" s="11" t="n"/>
      <c r="D21" s="10" t="n"/>
    </row>
    <row r="22">
      <c r="A22" s="10" t="n"/>
      <c r="B22" s="10" t="n"/>
      <c r="C22" s="11" t="n"/>
      <c r="D22" s="10" t="n"/>
    </row>
    <row r="23">
      <c r="A23" s="10" t="n"/>
      <c r="B23" s="10" t="n"/>
      <c r="C23" s="11" t="n"/>
      <c r="D23" s="10" t="n"/>
    </row>
    <row r="24">
      <c r="A24" s="10" t="n"/>
      <c r="B24" s="10" t="n"/>
      <c r="C24" s="11" t="n"/>
      <c r="D24" s="10" t="n"/>
    </row>
    <row r="25">
      <c r="A25" s="10" t="n"/>
      <c r="B25" s="10" t="n"/>
      <c r="C25" s="11" t="n"/>
      <c r="D25" s="10" t="n"/>
    </row>
    <row r="26">
      <c r="A26" s="10" t="n"/>
      <c r="B26" s="10" t="n"/>
      <c r="C26" s="11" t="n"/>
      <c r="D26" s="10" t="n"/>
    </row>
    <row r="27">
      <c r="A27" s="10" t="n"/>
      <c r="B27" s="10" t="n"/>
      <c r="C27" s="11" t="n"/>
      <c r="D27" s="10" t="n"/>
    </row>
    <row r="28">
      <c r="A28" s="10" t="n"/>
      <c r="B28" s="10" t="n"/>
      <c r="C28" s="11" t="n"/>
      <c r="D28" s="10" t="n"/>
    </row>
    <row r="29">
      <c r="A29" s="10" t="n"/>
      <c r="B29" s="10" t="n"/>
      <c r="C29" s="11" t="n"/>
      <c r="D29" s="10" t="n"/>
    </row>
    <row r="30">
      <c r="A30" s="10" t="n"/>
      <c r="B30" s="10" t="n"/>
      <c r="C30" s="11" t="n"/>
      <c r="D30" s="10" t="n"/>
    </row>
    <row r="31">
      <c r="A31" s="10" t="n"/>
      <c r="B31" s="10" t="n"/>
      <c r="C31" s="11" t="n"/>
      <c r="D31" s="10" t="n"/>
    </row>
    <row r="32">
      <c r="A32" s="10" t="n"/>
      <c r="B32" s="10" t="n"/>
      <c r="C32" s="11" t="n"/>
      <c r="D32" s="10" t="n"/>
    </row>
    <row r="33">
      <c r="A33" s="10" t="n"/>
      <c r="B33" s="10" t="n"/>
      <c r="C33" s="11" t="n"/>
      <c r="D33" s="10" t="n"/>
    </row>
    <row r="34">
      <c r="A34" s="10" t="n"/>
      <c r="B34" s="10" t="n"/>
      <c r="C34" s="11" t="n"/>
      <c r="D34" s="10" t="n"/>
    </row>
    <row r="35">
      <c r="A35" s="10" t="n"/>
      <c r="B35" s="10" t="n"/>
      <c r="C35" s="11" t="n"/>
      <c r="D35" s="10" t="n"/>
    </row>
    <row r="36">
      <c r="A36" s="10" t="n"/>
      <c r="B36" s="10" t="n"/>
      <c r="C36" s="11" t="n"/>
      <c r="D36" s="10" t="n"/>
    </row>
    <row r="37">
      <c r="A37" s="10" t="n"/>
      <c r="B37" s="10" t="n"/>
      <c r="C37" s="11" t="n"/>
      <c r="D37" s="10" t="n"/>
    </row>
    <row r="38">
      <c r="A38" s="10" t="n"/>
      <c r="B38" s="10" t="n"/>
      <c r="C38" s="11" t="n"/>
      <c r="D38" s="10" t="n"/>
    </row>
    <row r="39">
      <c r="A39" s="10" t="n"/>
      <c r="B39" s="10" t="n"/>
      <c r="C39" s="11" t="n"/>
      <c r="D39" s="10" t="n"/>
    </row>
    <row r="40">
      <c r="A40" s="10" t="n"/>
      <c r="B40" s="10" t="n"/>
      <c r="C40" s="11" t="n"/>
      <c r="D40" s="10" t="n"/>
    </row>
    <row r="41">
      <c r="A41" s="10" t="n"/>
      <c r="B41" s="10" t="n"/>
      <c r="C41" s="11" t="n"/>
      <c r="D41" s="10" t="n"/>
    </row>
    <row r="42">
      <c r="A42" s="10" t="n"/>
      <c r="B42" s="10" t="n"/>
      <c r="C42" s="11" t="n"/>
      <c r="D42" s="10" t="n"/>
    </row>
    <row r="43">
      <c r="A43" s="10" t="n"/>
      <c r="B43" s="10" t="n"/>
      <c r="C43" s="11" t="n"/>
      <c r="D43" s="10" t="n"/>
    </row>
    <row r="44">
      <c r="A44" s="10" t="n"/>
      <c r="B44" s="10" t="n"/>
      <c r="C44" s="11" t="n"/>
      <c r="D44" s="10" t="n"/>
    </row>
    <row r="45">
      <c r="A45" s="10" t="n"/>
      <c r="B45" s="10" t="n"/>
      <c r="C45" s="11" t="n"/>
      <c r="D45" s="10" t="n"/>
    </row>
    <row r="46">
      <c r="A46" s="10" t="n"/>
      <c r="B46" s="10" t="n"/>
      <c r="C46" s="11" t="n"/>
      <c r="D46" s="10" t="n"/>
    </row>
    <row r="47">
      <c r="A47" s="10" t="n"/>
      <c r="B47" s="10" t="n"/>
      <c r="C47" s="11" t="n"/>
      <c r="D47" s="10" t="n"/>
    </row>
    <row r="48">
      <c r="A48" s="10" t="n"/>
      <c r="B48" s="10" t="n"/>
      <c r="C48" s="11" t="n"/>
      <c r="D48" s="10" t="n"/>
    </row>
    <row r="49">
      <c r="A49" s="10" t="n"/>
      <c r="B49" s="10" t="n"/>
      <c r="C49" s="11" t="n"/>
      <c r="D49" s="10" t="n"/>
    </row>
    <row r="50">
      <c r="A50" s="10" t="n"/>
      <c r="B50" s="10" t="n"/>
      <c r="C50" s="11" t="n"/>
      <c r="D50" s="10" t="n"/>
    </row>
    <row r="51">
      <c r="A51" s="10" t="n"/>
      <c r="B51" s="10" t="n"/>
      <c r="C51" s="11" t="n"/>
      <c r="D51" s="10" t="n"/>
    </row>
    <row r="52">
      <c r="A52" s="10" t="n"/>
      <c r="B52" s="10" t="n"/>
      <c r="C52" s="11" t="n"/>
      <c r="D52" s="10" t="n"/>
    </row>
    <row r="53">
      <c r="A53" s="10" t="n"/>
      <c r="B53" s="10" t="n"/>
      <c r="C53" s="11" t="n"/>
      <c r="D53" s="10" t="n"/>
    </row>
    <row r="54">
      <c r="A54" s="10" t="n"/>
      <c r="B54" s="10" t="n"/>
      <c r="C54" s="11" t="n"/>
      <c r="D54" s="10" t="n"/>
    </row>
    <row r="55">
      <c r="A55" s="10" t="n"/>
      <c r="B55" s="10" t="n"/>
      <c r="C55" s="11" t="n"/>
      <c r="D55" s="10" t="n"/>
    </row>
    <row r="56">
      <c r="A56" s="10" t="n"/>
      <c r="B56" s="10" t="n"/>
      <c r="C56" s="11" t="n"/>
      <c r="D56" s="10" t="n"/>
    </row>
    <row r="57">
      <c r="A57" s="10" t="n"/>
      <c r="B57" s="10" t="n"/>
      <c r="C57" s="11" t="n"/>
      <c r="D57" s="10" t="n"/>
    </row>
    <row r="58">
      <c r="A58" s="10" t="n"/>
      <c r="B58" s="10" t="n"/>
      <c r="C58" s="11" t="n"/>
      <c r="D58" s="10" t="n"/>
    </row>
    <row r="59">
      <c r="A59" s="10" t="n"/>
      <c r="B59" s="10" t="n"/>
      <c r="C59" s="11" t="n"/>
      <c r="D59" s="10" t="n"/>
    </row>
    <row r="60">
      <c r="A60" s="10" t="n"/>
      <c r="B60" s="10" t="n"/>
      <c r="C60" s="11" t="n"/>
      <c r="D60" s="10" t="n"/>
    </row>
    <row r="61">
      <c r="A61" s="10" t="n"/>
      <c r="B61" s="10" t="n"/>
      <c r="C61" s="11" t="n"/>
      <c r="D61" s="10" t="n"/>
    </row>
    <row r="62">
      <c r="A62" s="10" t="n"/>
      <c r="B62" s="10" t="n"/>
      <c r="C62" s="11" t="n"/>
      <c r="D62" s="10" t="n"/>
    </row>
    <row r="63">
      <c r="A63" s="10" t="n"/>
      <c r="B63" s="10" t="n"/>
      <c r="C63" s="11" t="n"/>
      <c r="D63" s="10" t="n"/>
    </row>
    <row r="64">
      <c r="A64" s="10" t="n"/>
      <c r="B64" s="10" t="n"/>
      <c r="C64" s="11" t="n"/>
      <c r="D64" s="10" t="n"/>
    </row>
    <row r="65">
      <c r="A65" s="10" t="n"/>
      <c r="B65" s="10" t="n"/>
      <c r="C65" s="11" t="n"/>
      <c r="D65" s="10" t="n"/>
    </row>
    <row r="66">
      <c r="A66" s="10" t="n"/>
      <c r="B66" s="10" t="n"/>
      <c r="C66" s="11" t="n"/>
      <c r="D66" s="10" t="n"/>
    </row>
    <row r="67">
      <c r="A67" s="10" t="n"/>
      <c r="B67" s="10" t="n"/>
      <c r="C67" s="11" t="n"/>
      <c r="D67" s="10" t="n"/>
    </row>
    <row r="68">
      <c r="A68" s="10" t="n"/>
      <c r="B68" s="10" t="n"/>
      <c r="C68" s="11" t="n"/>
      <c r="D68" s="10" t="n"/>
    </row>
    <row r="69">
      <c r="A69" s="10" t="n"/>
      <c r="B69" s="10" t="n"/>
      <c r="C69" s="11" t="n"/>
      <c r="D69" s="10" t="n"/>
    </row>
    <row r="70">
      <c r="A70" s="10" t="n"/>
      <c r="B70" s="10" t="n"/>
      <c r="C70" s="11" t="n"/>
      <c r="D70" s="10" t="n"/>
    </row>
    <row r="71">
      <c r="A71" s="10" t="n"/>
      <c r="B71" s="10" t="n"/>
      <c r="C71" s="11" t="n"/>
      <c r="D71" s="10" t="n"/>
    </row>
    <row r="72">
      <c r="A72" s="10" t="n"/>
      <c r="B72" s="10" t="n"/>
      <c r="C72" s="11" t="n"/>
      <c r="D72" s="10" t="n"/>
    </row>
    <row r="73">
      <c r="A73" s="10" t="n"/>
      <c r="B73" s="10" t="n"/>
      <c r="C73" s="11" t="n"/>
      <c r="D73" s="10" t="n"/>
    </row>
    <row r="74">
      <c r="A74" s="10" t="n"/>
      <c r="B74" s="10" t="n"/>
      <c r="C74" s="11" t="n"/>
      <c r="D74" s="10" t="n"/>
    </row>
    <row r="75">
      <c r="A75" s="10" t="n"/>
      <c r="B75" s="10" t="n"/>
      <c r="C75" s="11" t="n"/>
      <c r="D75" s="10" t="n"/>
    </row>
    <row r="76">
      <c r="A76" s="10" t="n"/>
      <c r="B76" s="10" t="n"/>
      <c r="C76" s="11" t="n"/>
      <c r="D76" s="10" t="n"/>
    </row>
    <row r="77">
      <c r="A77" s="10" t="n"/>
      <c r="B77" s="10" t="n"/>
      <c r="C77" s="11" t="n"/>
      <c r="D77" s="10" t="n"/>
    </row>
    <row r="78">
      <c r="A78" s="10" t="n"/>
      <c r="B78" s="10" t="n"/>
      <c r="C78" s="11" t="n"/>
      <c r="D78" s="10" t="n"/>
    </row>
    <row r="79">
      <c r="A79" s="10" t="n"/>
      <c r="B79" s="10" t="n"/>
      <c r="C79" s="11" t="n"/>
      <c r="D79" s="10" t="n"/>
    </row>
    <row r="80">
      <c r="A80" s="10" t="n"/>
      <c r="B80" s="10" t="n"/>
      <c r="C80" s="11" t="n"/>
      <c r="D80" s="10" t="n"/>
    </row>
    <row r="81">
      <c r="A81" s="10" t="n"/>
      <c r="B81" s="10" t="n"/>
      <c r="C81" s="11" t="n"/>
      <c r="D81" s="10" t="n"/>
    </row>
    <row r="82">
      <c r="A82" s="10" t="n"/>
      <c r="B82" s="10" t="n"/>
      <c r="C82" s="11" t="n"/>
      <c r="D82" s="10" t="n"/>
    </row>
    <row r="83">
      <c r="A83" s="10" t="n"/>
      <c r="B83" s="10" t="n"/>
      <c r="C83" s="11" t="n"/>
      <c r="D83" s="10" t="n"/>
    </row>
    <row r="84">
      <c r="A84" s="10" t="n"/>
      <c r="B84" s="10" t="n"/>
      <c r="C84" s="11" t="n"/>
      <c r="D84" s="10" t="n"/>
    </row>
    <row r="85">
      <c r="A85" s="10" t="n"/>
      <c r="B85" s="10" t="n"/>
      <c r="C85" s="11" t="n"/>
      <c r="D85" s="10" t="n"/>
    </row>
    <row r="86">
      <c r="A86" s="10" t="n"/>
      <c r="B86" s="10" t="n"/>
      <c r="C86" s="11" t="n"/>
      <c r="D86" s="10" t="n"/>
    </row>
    <row r="87">
      <c r="A87" s="10" t="n"/>
      <c r="B87" s="10" t="n"/>
      <c r="C87" s="11" t="n"/>
      <c r="D87" s="10" t="n"/>
    </row>
    <row r="88">
      <c r="A88" s="10" t="n"/>
      <c r="B88" s="10" t="n"/>
      <c r="C88" s="11" t="n"/>
      <c r="D88" s="10" t="n"/>
    </row>
    <row r="89">
      <c r="A89" s="10" t="n"/>
      <c r="B89" s="10" t="n"/>
      <c r="C89" s="11" t="n"/>
      <c r="D89" s="10" t="n"/>
    </row>
    <row r="90">
      <c r="A90" s="10" t="n"/>
      <c r="B90" s="10" t="n"/>
      <c r="C90" s="11" t="n"/>
      <c r="D90" s="10" t="n"/>
    </row>
    <row r="91">
      <c r="A91" s="10" t="n"/>
      <c r="B91" s="10" t="n"/>
      <c r="C91" s="11" t="n"/>
      <c r="D91" s="10" t="n"/>
    </row>
    <row r="92">
      <c r="A92" s="10" t="n"/>
      <c r="B92" s="10" t="n"/>
      <c r="C92" s="11" t="n"/>
      <c r="D92" s="10" t="n"/>
    </row>
    <row r="93">
      <c r="A93" s="10" t="n"/>
      <c r="B93" s="10" t="n"/>
      <c r="C93" s="11" t="n"/>
      <c r="D93" s="10" t="n"/>
    </row>
    <row r="94">
      <c r="A94" s="10" t="n"/>
      <c r="B94" s="10" t="n"/>
      <c r="C94" s="11" t="n"/>
      <c r="D94" s="10" t="n"/>
    </row>
    <row r="95">
      <c r="A95" s="10" t="n"/>
      <c r="B95" s="10" t="n"/>
      <c r="C95" s="11" t="n"/>
      <c r="D95" s="10" t="n"/>
    </row>
    <row r="96">
      <c r="A96" s="10" t="n"/>
      <c r="B96" s="10" t="n"/>
      <c r="C96" s="11" t="n"/>
      <c r="D96" s="10" t="n"/>
    </row>
    <row r="97">
      <c r="A97" s="10" t="n"/>
      <c r="B97" s="10" t="n"/>
      <c r="C97" s="11" t="n"/>
      <c r="D97" s="10" t="n"/>
    </row>
    <row r="98">
      <c r="A98" s="10" t="n"/>
      <c r="B98" s="10" t="n"/>
      <c r="C98" s="11" t="n"/>
      <c r="D98" s="10" t="n"/>
    </row>
    <row r="99">
      <c r="A99" s="10" t="n"/>
      <c r="B99" s="10" t="n"/>
      <c r="C99" s="11" t="n"/>
      <c r="D99" s="10" t="n"/>
    </row>
    <row r="100">
      <c r="A100" s="10" t="n"/>
      <c r="B100" s="10" t="n"/>
      <c r="C100" s="11" t="n"/>
      <c r="D100" s="10" t="n"/>
    </row>
    <row r="101">
      <c r="A101" s="10" t="n"/>
      <c r="B101" s="10" t="n"/>
      <c r="C101" s="11" t="n"/>
      <c r="D101" s="10" t="n"/>
    </row>
    <row r="102">
      <c r="A102" s="10" t="n"/>
      <c r="B102" s="10" t="n"/>
      <c r="C102" s="11" t="n"/>
      <c r="D102" s="10" t="n"/>
    </row>
    <row r="103">
      <c r="A103" s="10" t="n"/>
      <c r="B103" s="10" t="n"/>
      <c r="C103" s="11" t="n"/>
      <c r="D103" s="10" t="n"/>
    </row>
    <row r="104">
      <c r="A104" s="10" t="n"/>
      <c r="B104" s="10" t="n"/>
      <c r="C104" s="11" t="n"/>
      <c r="D104" s="10" t="n"/>
    </row>
    <row r="105">
      <c r="A105" s="10" t="n"/>
      <c r="B105" s="10" t="n"/>
      <c r="C105" s="11" t="n"/>
      <c r="D105" s="10" t="n"/>
    </row>
    <row r="106">
      <c r="A106" s="10" t="n"/>
      <c r="B106" s="10" t="n"/>
      <c r="C106" s="11" t="n"/>
      <c r="D106" s="10" t="n"/>
    </row>
    <row r="107">
      <c r="A107" s="10" t="n"/>
      <c r="B107" s="10" t="n"/>
      <c r="C107" s="11" t="n"/>
      <c r="D107" s="10" t="n"/>
    </row>
    <row r="108">
      <c r="A108" s="10" t="n"/>
      <c r="B108" s="10" t="n"/>
      <c r="C108" s="11" t="n"/>
      <c r="D108" s="10" t="n"/>
    </row>
    <row r="109">
      <c r="A109" s="10" t="n"/>
      <c r="B109" s="10" t="n"/>
      <c r="C109" s="11" t="n"/>
      <c r="D109" s="10" t="n"/>
    </row>
    <row r="110">
      <c r="A110" s="10" t="n"/>
      <c r="B110" s="10" t="n"/>
      <c r="C110" s="11" t="n"/>
      <c r="D110" s="10" t="n"/>
    </row>
    <row r="111">
      <c r="A111" s="10" t="n"/>
      <c r="B111" s="10" t="n"/>
      <c r="C111" s="11" t="n"/>
      <c r="D111" s="10" t="n"/>
    </row>
    <row r="112">
      <c r="A112" s="10" t="n"/>
      <c r="B112" s="10" t="n"/>
      <c r="C112" s="11" t="n"/>
      <c r="D112" s="10" t="n"/>
    </row>
    <row r="113">
      <c r="A113" s="10" t="n"/>
      <c r="B113" s="10" t="n"/>
      <c r="C113" s="11" t="n"/>
      <c r="D113" s="10" t="n"/>
    </row>
    <row r="114">
      <c r="A114" s="10" t="n"/>
      <c r="B114" s="10" t="n"/>
      <c r="C114" s="11" t="n"/>
      <c r="D114" s="10" t="n"/>
    </row>
    <row r="115">
      <c r="A115" s="10" t="n"/>
      <c r="B115" s="10" t="n"/>
      <c r="C115" s="11" t="n"/>
      <c r="D115" s="10" t="n"/>
    </row>
    <row r="116">
      <c r="A116" s="10" t="n"/>
      <c r="B116" s="10" t="n"/>
      <c r="C116" s="11" t="n"/>
      <c r="D116" s="10" t="n"/>
    </row>
    <row r="117">
      <c r="A117" s="10" t="n"/>
      <c r="B117" s="10" t="n"/>
      <c r="C117" s="11" t="n"/>
      <c r="D117" s="10" t="n"/>
    </row>
    <row r="118">
      <c r="A118" s="10" t="n"/>
      <c r="B118" s="10" t="n"/>
      <c r="C118" s="11" t="n"/>
      <c r="D118" s="10" t="n"/>
    </row>
    <row r="119">
      <c r="A119" s="10" t="n"/>
      <c r="B119" s="10" t="n"/>
      <c r="C119" s="11" t="n"/>
      <c r="D119" s="10" t="n"/>
    </row>
    <row r="120">
      <c r="A120" s="10" t="n"/>
      <c r="B120" s="10" t="n"/>
      <c r="C120" s="11" t="n"/>
      <c r="D120" s="10" t="n"/>
    </row>
    <row r="121">
      <c r="A121" s="10" t="n"/>
      <c r="B121" s="10" t="n"/>
      <c r="C121" s="11" t="n"/>
      <c r="D121" s="10" t="n"/>
    </row>
    <row r="122">
      <c r="A122" s="10" t="n"/>
      <c r="B122" s="10" t="n"/>
      <c r="C122" s="11" t="n"/>
      <c r="D122" s="10" t="n"/>
    </row>
    <row r="123">
      <c r="A123" s="10" t="n"/>
      <c r="B123" s="10" t="n"/>
      <c r="C123" s="11" t="n"/>
      <c r="D123" s="10" t="n"/>
    </row>
    <row r="124">
      <c r="A124" s="10" t="n"/>
      <c r="B124" s="10" t="n"/>
      <c r="C124" s="11" t="n"/>
      <c r="D124" s="10" t="n"/>
    </row>
    <row r="125">
      <c r="A125" s="10" t="n"/>
      <c r="B125" s="10" t="n"/>
      <c r="C125" s="11" t="n"/>
      <c r="D125" s="10" t="n"/>
    </row>
    <row r="126">
      <c r="A126" s="10" t="n"/>
      <c r="B126" s="10" t="n"/>
      <c r="C126" s="11" t="n"/>
      <c r="D126" s="10" t="n"/>
    </row>
    <row r="127">
      <c r="A127" s="10" t="n"/>
      <c r="B127" s="10" t="n"/>
      <c r="C127" s="11" t="n"/>
      <c r="D127" s="10" t="n"/>
    </row>
    <row r="128">
      <c r="A128" s="10" t="n"/>
      <c r="B128" s="10" t="n"/>
      <c r="C128" s="11" t="n"/>
      <c r="D128" s="10" t="n"/>
    </row>
    <row r="129">
      <c r="A129" s="10" t="n"/>
      <c r="B129" s="10" t="n"/>
      <c r="C129" s="11" t="n"/>
      <c r="D129" s="10" t="n"/>
    </row>
    <row r="130">
      <c r="A130" s="10" t="n"/>
      <c r="B130" s="10" t="n"/>
      <c r="C130" s="11" t="n"/>
      <c r="D130" s="10" t="n"/>
    </row>
    <row r="131">
      <c r="A131" s="10" t="n"/>
      <c r="B131" s="10" t="n"/>
      <c r="C131" s="11" t="n"/>
      <c r="D131" s="10" t="n"/>
    </row>
    <row r="132">
      <c r="A132" s="10" t="n"/>
      <c r="B132" s="10" t="n"/>
      <c r="C132" s="11" t="n"/>
      <c r="D132" s="10" t="n"/>
    </row>
    <row r="133">
      <c r="A133" s="10" t="n"/>
      <c r="B133" s="10" t="n"/>
      <c r="C133" s="11" t="n"/>
      <c r="D133" s="10" t="n"/>
    </row>
    <row r="134">
      <c r="A134" s="10" t="n"/>
      <c r="B134" s="10" t="n"/>
      <c r="C134" s="11" t="n"/>
      <c r="D134" s="10" t="n"/>
    </row>
    <row r="135">
      <c r="A135" s="10" t="n"/>
      <c r="B135" s="10" t="n"/>
      <c r="C135" s="11" t="n"/>
      <c r="D135" s="10" t="n"/>
    </row>
    <row r="136">
      <c r="A136" s="10" t="n"/>
      <c r="B136" s="10" t="n"/>
      <c r="C136" s="11" t="n"/>
      <c r="D136" s="10" t="n"/>
    </row>
    <row r="137">
      <c r="A137" s="10" t="n"/>
      <c r="B137" s="10" t="n"/>
      <c r="C137" s="11" t="n"/>
      <c r="D137" s="10" t="n"/>
    </row>
    <row r="138">
      <c r="A138" s="10" t="n"/>
      <c r="B138" s="10" t="n"/>
      <c r="C138" s="11" t="n"/>
      <c r="D138" s="10" t="n"/>
    </row>
    <row r="139">
      <c r="A139" s="10" t="n"/>
      <c r="B139" s="10" t="n"/>
      <c r="C139" s="11" t="n"/>
      <c r="D139" s="10" t="n"/>
    </row>
    <row r="140">
      <c r="A140" s="10" t="n"/>
      <c r="B140" s="10" t="n"/>
      <c r="C140" s="11" t="n"/>
      <c r="D140" s="10" t="n"/>
    </row>
    <row r="141">
      <c r="A141" s="10" t="n"/>
      <c r="B141" s="10" t="n"/>
      <c r="C141" s="11" t="n"/>
      <c r="D141" s="10" t="n"/>
    </row>
    <row r="142">
      <c r="A142" s="10" t="n"/>
      <c r="B142" s="10" t="n"/>
      <c r="C142" s="11" t="n"/>
      <c r="D142" s="10" t="n"/>
    </row>
    <row r="143">
      <c r="A143" s="10" t="n"/>
      <c r="B143" s="10" t="n"/>
      <c r="C143" s="11" t="n"/>
      <c r="D143" s="10" t="n"/>
    </row>
    <row r="144">
      <c r="A144" s="10" t="n"/>
      <c r="B144" s="10" t="n"/>
      <c r="C144" s="11" t="n"/>
      <c r="D144" s="10" t="n"/>
    </row>
    <row r="145">
      <c r="A145" s="10" t="n"/>
      <c r="B145" s="10" t="n"/>
      <c r="C145" s="11" t="n"/>
      <c r="D145" s="10" t="n"/>
    </row>
    <row r="146">
      <c r="A146" s="10" t="n"/>
      <c r="B146" s="10" t="n"/>
      <c r="C146" s="11" t="n"/>
      <c r="D146" s="10" t="n"/>
    </row>
    <row r="147">
      <c r="A147" s="10" t="n"/>
      <c r="B147" s="10" t="n"/>
      <c r="C147" s="11" t="n"/>
      <c r="D147" s="10" t="n"/>
    </row>
    <row r="148">
      <c r="A148" s="10" t="n"/>
      <c r="B148" s="10" t="n"/>
      <c r="C148" s="11" t="n"/>
      <c r="D148" s="10" t="n"/>
    </row>
    <row r="149">
      <c r="A149" s="10" t="n"/>
      <c r="B149" s="10" t="n"/>
      <c r="C149" s="11" t="n"/>
      <c r="D149" s="10" t="n"/>
    </row>
    <row r="150">
      <c r="A150" s="10" t="n"/>
      <c r="B150" s="10" t="n"/>
      <c r="C150" s="11" t="n"/>
      <c r="D150" s="10" t="n"/>
    </row>
    <row r="151">
      <c r="A151" s="10" t="n"/>
      <c r="B151" s="10" t="n"/>
      <c r="C151" s="11" t="n"/>
      <c r="D151" s="10" t="n"/>
    </row>
    <row r="152">
      <c r="A152" s="10" t="n"/>
      <c r="B152" s="10" t="n"/>
      <c r="C152" s="11" t="n"/>
      <c r="D152" s="10" t="n"/>
    </row>
    <row r="153">
      <c r="A153" s="10" t="n"/>
      <c r="B153" s="10" t="n"/>
      <c r="C153" s="11" t="n"/>
      <c r="D153" s="10" t="n"/>
    </row>
    <row r="154">
      <c r="A154" s="10" t="n"/>
      <c r="B154" s="10" t="n"/>
      <c r="C154" s="11" t="n"/>
      <c r="D154" s="10" t="n"/>
    </row>
    <row r="155">
      <c r="A155" s="10" t="n"/>
      <c r="B155" s="10" t="n"/>
      <c r="C155" s="11" t="n"/>
      <c r="D155" s="10" t="n"/>
    </row>
    <row r="156">
      <c r="A156" s="10" t="n"/>
      <c r="B156" s="10" t="n"/>
      <c r="C156" s="11" t="n"/>
      <c r="D156" s="10" t="n"/>
    </row>
    <row r="157">
      <c r="A157" s="10" t="n"/>
      <c r="B157" s="10" t="n"/>
      <c r="C157" s="11" t="n"/>
      <c r="D157" s="10" t="n"/>
    </row>
    <row r="158">
      <c r="A158" s="10" t="n"/>
      <c r="B158" s="10" t="n"/>
      <c r="C158" s="11" t="n"/>
      <c r="D158" s="10" t="n"/>
    </row>
    <row r="159">
      <c r="A159" s="10" t="n"/>
      <c r="B159" s="10" t="n"/>
      <c r="C159" s="11" t="n"/>
      <c r="D159" s="10" t="n"/>
    </row>
    <row r="160">
      <c r="A160" s="10" t="n"/>
      <c r="B160" s="10" t="n"/>
      <c r="C160" s="11" t="n"/>
      <c r="D160" s="10" t="n"/>
    </row>
    <row r="161">
      <c r="A161" s="10" t="n"/>
      <c r="B161" s="10" t="n"/>
      <c r="C161" s="11" t="n"/>
      <c r="D161" s="10" t="n"/>
    </row>
    <row r="162">
      <c r="A162" s="10" t="n"/>
      <c r="B162" s="10" t="n"/>
      <c r="C162" s="11" t="n"/>
      <c r="D162" s="10" t="n"/>
    </row>
    <row r="163">
      <c r="A163" s="10" t="n"/>
      <c r="B163" s="10" t="n"/>
      <c r="C163" s="11" t="n"/>
      <c r="D163" s="10" t="n"/>
    </row>
    <row r="164">
      <c r="A164" s="10" t="n"/>
      <c r="B164" s="10" t="n"/>
      <c r="C164" s="11" t="n"/>
      <c r="D164" s="10" t="n"/>
    </row>
    <row r="165">
      <c r="A165" s="10" t="n"/>
      <c r="B165" s="10" t="n"/>
      <c r="C165" s="11" t="n"/>
      <c r="D165" s="10" t="n"/>
    </row>
    <row r="166">
      <c r="A166" s="10" t="n"/>
      <c r="B166" s="10" t="n"/>
      <c r="C166" s="11" t="n"/>
      <c r="D166" s="10" t="n"/>
    </row>
    <row r="167">
      <c r="A167" s="10" t="n"/>
      <c r="B167" s="10" t="n"/>
      <c r="C167" s="11" t="n"/>
      <c r="D167" s="10" t="n"/>
    </row>
    <row r="168">
      <c r="A168" s="10" t="n"/>
      <c r="B168" s="10" t="n"/>
      <c r="C168" s="11" t="n"/>
      <c r="D168" s="10" t="n"/>
    </row>
    <row r="169">
      <c r="A169" s="10" t="n"/>
      <c r="B169" s="10" t="n"/>
      <c r="C169" s="11" t="n"/>
      <c r="D169" s="10" t="n"/>
    </row>
    <row r="170">
      <c r="A170" s="10" t="n"/>
      <c r="B170" s="10" t="n"/>
      <c r="C170" s="11" t="n"/>
      <c r="D170" s="10" t="n"/>
    </row>
    <row r="171">
      <c r="A171" s="10" t="n"/>
      <c r="B171" s="10" t="n"/>
      <c r="C171" s="11" t="n"/>
      <c r="D171" s="10" t="n"/>
    </row>
    <row r="172">
      <c r="A172" s="10" t="n"/>
      <c r="B172" s="10" t="n"/>
      <c r="C172" s="11" t="n"/>
      <c r="D172" s="10" t="n"/>
    </row>
    <row r="173">
      <c r="A173" s="10" t="n"/>
      <c r="B173" s="10" t="n"/>
      <c r="C173" s="11" t="n"/>
      <c r="D173" s="10" t="n"/>
    </row>
    <row r="174">
      <c r="A174" s="10" t="n"/>
      <c r="B174" s="10" t="n"/>
      <c r="C174" s="11" t="n"/>
      <c r="D174" s="10" t="n"/>
    </row>
    <row r="175">
      <c r="A175" s="10" t="n"/>
      <c r="B175" s="10" t="n"/>
      <c r="C175" s="11" t="n"/>
      <c r="D175" s="10" t="n"/>
    </row>
    <row r="176">
      <c r="A176" s="10" t="n"/>
      <c r="B176" s="10" t="n"/>
      <c r="C176" s="11" t="n"/>
      <c r="D176" s="10" t="n"/>
    </row>
    <row r="177">
      <c r="A177" s="10" t="n"/>
      <c r="B177" s="10" t="n"/>
      <c r="C177" s="11" t="n"/>
      <c r="D177" s="10" t="n"/>
    </row>
    <row r="178">
      <c r="A178" s="10" t="n"/>
      <c r="B178" s="10" t="n"/>
      <c r="C178" s="11" t="n"/>
      <c r="D178" s="10" t="n"/>
    </row>
    <row r="179">
      <c r="A179" s="10" t="n"/>
      <c r="B179" s="10" t="n"/>
      <c r="C179" s="11" t="n"/>
      <c r="D179" s="10" t="n"/>
    </row>
    <row r="180">
      <c r="A180" s="10" t="n"/>
      <c r="B180" s="10" t="n"/>
      <c r="C180" s="11" t="n"/>
      <c r="D180" s="10" t="n"/>
    </row>
    <row r="181">
      <c r="A181" s="10" t="n"/>
      <c r="B181" s="10" t="n"/>
      <c r="C181" s="11" t="n"/>
      <c r="D181" s="10" t="n"/>
    </row>
    <row r="182">
      <c r="A182" s="10" t="n"/>
      <c r="B182" s="10" t="n"/>
      <c r="C182" s="11" t="n"/>
      <c r="D182" s="10" t="n"/>
    </row>
    <row r="183">
      <c r="A183" s="10" t="n"/>
      <c r="B183" s="10" t="n"/>
      <c r="C183" s="11" t="n"/>
      <c r="D183" s="10" t="n"/>
    </row>
    <row r="184">
      <c r="A184" s="10" t="n"/>
      <c r="B184" s="10" t="n"/>
      <c r="C184" s="11" t="n"/>
      <c r="D184" s="10" t="n"/>
    </row>
    <row r="185">
      <c r="A185" s="10" t="n"/>
      <c r="B185" s="10" t="n"/>
      <c r="C185" s="11" t="n"/>
      <c r="D185" s="10" t="n"/>
    </row>
    <row r="186">
      <c r="A186" s="10" t="n"/>
      <c r="B186" s="10" t="n"/>
      <c r="C186" s="11" t="n"/>
      <c r="D186" s="10" t="n"/>
    </row>
    <row r="187">
      <c r="A187" s="10" t="n"/>
      <c r="B187" s="10" t="n"/>
      <c r="C187" s="11" t="n"/>
      <c r="D187" s="10" t="n"/>
    </row>
    <row r="188">
      <c r="A188" s="10" t="n"/>
      <c r="B188" s="10" t="n"/>
      <c r="C188" s="11" t="n"/>
      <c r="D188" s="10" t="n"/>
    </row>
    <row r="189">
      <c r="A189" s="10" t="n"/>
      <c r="B189" s="10" t="n"/>
      <c r="C189" s="11" t="n"/>
      <c r="D189" s="10" t="n"/>
    </row>
    <row r="190">
      <c r="A190" s="10" t="n"/>
      <c r="B190" s="10" t="n"/>
      <c r="C190" s="11" t="n"/>
      <c r="D190" s="10" t="n"/>
    </row>
    <row r="191">
      <c r="A191" s="10" t="n"/>
      <c r="B191" s="10" t="n"/>
      <c r="C191" s="11" t="n"/>
      <c r="D191" s="10" t="n"/>
    </row>
    <row r="192">
      <c r="A192" s="10" t="n"/>
      <c r="B192" s="10" t="n"/>
      <c r="C192" s="11" t="n"/>
      <c r="D192" s="10" t="n"/>
    </row>
    <row r="193">
      <c r="A193" s="10" t="n"/>
      <c r="B193" s="10" t="n"/>
      <c r="C193" s="11" t="n"/>
      <c r="D193" s="10" t="n"/>
    </row>
    <row r="194">
      <c r="A194" s="10" t="n"/>
      <c r="B194" s="10" t="n"/>
      <c r="C194" s="11" t="n"/>
      <c r="D194" s="10" t="n"/>
    </row>
    <row r="195">
      <c r="A195" s="10" t="n"/>
      <c r="B195" s="10" t="n"/>
      <c r="C195" s="11" t="n"/>
      <c r="D195" s="10" t="n"/>
    </row>
    <row r="196">
      <c r="A196" s="10" t="n"/>
      <c r="B196" s="10" t="n"/>
      <c r="C196" s="11" t="n"/>
      <c r="D196" s="10" t="n"/>
    </row>
    <row r="197">
      <c r="A197" s="10" t="n"/>
      <c r="B197" s="10" t="n"/>
      <c r="C197" s="11" t="n"/>
      <c r="D197" s="10" t="n"/>
    </row>
    <row r="198">
      <c r="A198" s="10" t="n"/>
      <c r="B198" s="10" t="n"/>
      <c r="C198" s="11" t="n"/>
      <c r="D198" s="10" t="n"/>
    </row>
    <row r="199">
      <c r="A199" s="10" t="n"/>
      <c r="B199" s="10" t="n"/>
      <c r="C199" s="11" t="n"/>
      <c r="D199" s="10" t="n"/>
    </row>
    <row r="200">
      <c r="A200" s="10" t="n"/>
      <c r="B200" s="10" t="n"/>
      <c r="C200" s="11" t="n"/>
      <c r="D200" s="10" t="n"/>
    </row>
    <row r="201">
      <c r="A201" s="10" t="n"/>
      <c r="B201" s="10" t="n"/>
      <c r="C201" s="11" t="n"/>
      <c r="D201" s="10" t="n"/>
    </row>
    <row r="202">
      <c r="A202" s="10" t="n"/>
      <c r="B202" s="10" t="n"/>
      <c r="C202" s="11" t="n"/>
      <c r="D202" s="10" t="n"/>
    </row>
    <row r="203">
      <c r="A203" s="10" t="n"/>
      <c r="B203" s="10" t="n"/>
      <c r="C203" s="11" t="n"/>
      <c r="D203" s="10" t="n"/>
    </row>
  </sheetData>
  <mergeCells count="1">
    <mergeCell ref="A1:D1"/>
  </mergeCells>
  <dataValidations count="1">
    <dataValidation sqref="B4:B203" showDropDown="0" showInputMessage="0" showErrorMessage="0" allowBlank="1" type="list">
      <formula1>"ГСМ,Расходники,Списание товара,Хозрасходы,Прочее"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 ht="28" customHeight="1">
      <c r="A1" s="1" t="inlineStr">
        <is>
          <t>Итог месяца</t>
        </is>
      </c>
    </row>
    <row r="2">
      <c r="A2" s="5" t="inlineStr">
        <is>
          <t>Собирается автоматически из всех листов. Себестоимость впиши вручную для расчёта рентабельности.</t>
        </is>
      </c>
    </row>
    <row r="3">
      <c r="A3" s="17" t="inlineStr">
        <is>
          <t>ВЫРУЧКА</t>
        </is>
      </c>
    </row>
    <row r="4">
      <c r="A4" s="18" t="inlineStr">
        <is>
          <t>Наличные (Z)</t>
        </is>
      </c>
      <c r="B4" s="19">
        <f>SUM(Касса!D4:D203)</f>
        <v/>
      </c>
      <c r="C4" s="5" t="inlineStr"/>
    </row>
    <row r="5">
      <c r="A5" s="18" t="inlineStr">
        <is>
          <t>Карта (Z)</t>
        </is>
      </c>
      <c r="B5" s="19">
        <f>SUM(Касса!E4:E203)</f>
        <v/>
      </c>
      <c r="C5" s="5" t="inlineStr"/>
    </row>
    <row r="6">
      <c r="A6" s="18" t="inlineStr">
        <is>
          <t>Переводы СБП (Z)</t>
        </is>
      </c>
      <c r="B6" s="19">
        <f>SUM(Касса!F4:F203)</f>
        <v/>
      </c>
      <c r="C6" s="5" t="inlineStr"/>
    </row>
    <row r="7">
      <c r="A7" s="14" t="inlineStr">
        <is>
          <t>Выручка всего</t>
        </is>
      </c>
      <c r="B7" s="15">
        <f>SUM(Касса!G4:G203)</f>
        <v/>
      </c>
      <c r="C7" s="5" t="inlineStr">
        <is>
          <t>наличка + карта + СБП</t>
        </is>
      </c>
    </row>
    <row r="8">
      <c r="A8" s="18" t="inlineStr"/>
      <c r="C8" s="5" t="inlineStr"/>
    </row>
    <row r="9">
      <c r="A9" s="17" t="inlineStr">
        <is>
          <t>РАСХОДЫ</t>
        </is>
      </c>
    </row>
    <row r="10">
      <c r="A10" s="18" t="inlineStr">
        <is>
          <t>Оплачено поставщикам</t>
        </is>
      </c>
      <c r="B10" s="19">
        <f>SUM(Выплаты!C4:C203)</f>
        <v/>
      </c>
      <c r="C10" s="5" t="inlineStr">
        <is>
          <t>наличными</t>
        </is>
      </c>
    </row>
    <row r="11">
      <c r="A11" s="18" t="inlineStr">
        <is>
          <t>Зарплата к выплате</t>
        </is>
      </c>
      <c r="B11" s="19">
        <f>Зарплата!F34</f>
        <v/>
      </c>
      <c r="C11" s="5" t="inlineStr">
        <is>
          <t>из табеля</t>
        </is>
      </c>
    </row>
    <row r="12">
      <c r="A12" s="18" t="inlineStr">
        <is>
          <t>Накопления отложено</t>
        </is>
      </c>
      <c r="B12" s="19">
        <f>SUM(Накопления!C4:C23)</f>
        <v/>
      </c>
      <c r="C12" s="5" t="inlineStr">
        <is>
          <t>аренда/зарплата/налоги</t>
        </is>
      </c>
    </row>
    <row r="13">
      <c r="A13" s="18" t="inlineStr">
        <is>
          <t>Прочие расходы</t>
        </is>
      </c>
      <c r="B13" s="19">
        <f>SUM(Расходы!C4:C203)</f>
        <v/>
      </c>
      <c r="C13" s="5" t="inlineStr"/>
    </row>
    <row r="14">
      <c r="A14" s="14" t="inlineStr">
        <is>
          <t>Расходы всего</t>
        </is>
      </c>
      <c r="B14" s="15">
        <f>B10+B11+B12+B13</f>
        <v/>
      </c>
      <c r="C14" s="5" t="inlineStr"/>
    </row>
    <row r="15">
      <c r="A15" s="18" t="inlineStr"/>
      <c r="C15" s="5" t="inlineStr"/>
    </row>
    <row r="16">
      <c r="A16" s="17" t="inlineStr">
        <is>
          <t>ИТОГИ</t>
        </is>
      </c>
    </row>
    <row r="17">
      <c r="A17" s="18" t="inlineStr">
        <is>
          <t>Себестоимость проданного</t>
        </is>
      </c>
      <c r="B17" s="19" t="n">
        <v>0</v>
      </c>
      <c r="C17" s="5" t="inlineStr">
        <is>
          <t>впиши вручную или из 1С</t>
        </is>
      </c>
    </row>
    <row r="18">
      <c r="A18" s="14" t="inlineStr">
        <is>
          <t>Валовая прибыль</t>
        </is>
      </c>
      <c r="B18" s="15">
        <f>B7-B17</f>
        <v/>
      </c>
      <c r="C18" s="5" t="inlineStr">
        <is>
          <t>выручка − себестоимость</t>
        </is>
      </c>
    </row>
    <row r="19">
      <c r="A19" s="14" t="inlineStr">
        <is>
          <t>Рентабельность</t>
        </is>
      </c>
      <c r="B19" s="20">
        <f>IF(B7=0,"",B18/B7)</f>
        <v/>
      </c>
      <c r="C19" s="5" t="inlineStr">
        <is>
          <t>цель: см. Справочники</t>
        </is>
      </c>
    </row>
    <row r="20">
      <c r="A20" s="18" t="inlineStr">
        <is>
          <t>Долг поставщикам (конец)</t>
        </is>
      </c>
      <c r="B20" s="19">
        <f>Долги!E54</f>
        <v/>
      </c>
      <c r="C20" s="5" t="inlineStr"/>
    </row>
    <row r="21">
      <c r="A21" s="18" t="inlineStr">
        <is>
          <t>Расхождения за месяц</t>
        </is>
      </c>
      <c r="B21" s="19">
        <f>SUM(Касса!J4:J203)</f>
        <v/>
      </c>
      <c r="C21" s="5" t="inlineStr">
        <is>
          <t>сумма всех расхождений кассы</t>
        </is>
      </c>
    </row>
  </sheetData>
  <mergeCells count="5">
    <mergeCell ref="A2:F2"/>
    <mergeCell ref="A1:C1"/>
    <mergeCell ref="A9:C9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2026-06-18T12:48:58Z</dcterms:created>
  <dcterms:modified xsi:type="dcterms:W3CDTF">2026-06-18T12:48:59Z</dcterms:modified>
</cp:coreProperties>
</file>